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parative" sheetId="1" state="visible" r:id="rId3"/>
    <sheet name="Vendor Summary" sheetId="2" state="visible" r:id="rId4"/>
  </sheets>
  <definedNames>
    <definedName function="false" hidden="false" localSheetId="0" name="_xlnm.Print_Titles" vbProcedure="false">Comparative!$4:$5</definedName>
    <definedName function="false" hidden="true" localSheetId="0" name="_xlnm._FilterDatabase" vbProcedure="false">Comparative!$A$5:$W$129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<sst xmlns="http://schemas.openxmlformats.org/spreadsheetml/2006/main" count="800" uniqueCount="605">
  <si>
    <t xml:space="preserve">COMPARATIVE STATEMENT OF QUOTATIONS – RFQ (MEDICINES)</t>
  </si>
  <si>
    <t xml:space="preserve">Lowest rate per item is highlighted green. Blank = not quoted / NIL. Rates are as quoted per UOM (Muller: "Price Per Pack").</t>
  </si>
  <si>
    <t xml:space="preserve">Sr</t>
  </si>
  <si>
    <t xml:space="preserve">Item Code</t>
  </si>
  <si>
    <t xml:space="preserve">Item (Generic)</t>
  </si>
  <si>
    <t xml:space="preserve">Preferred Brands (as per RFQ)</t>
  </si>
  <si>
    <t xml:space="preserve">UOM</t>
  </si>
  <si>
    <t xml:space="preserve">Qty</t>
  </si>
  <si>
    <t xml:space="preserve">Ahsan</t>
  </si>
  <si>
    <t xml:space="preserve">Aslam</t>
  </si>
  <si>
    <t xml:space="preserve">Jamil</t>
  </si>
  <si>
    <t xml:space="preserve">Muller</t>
  </si>
  <si>
    <t xml:space="preserve">NMMC</t>
  </si>
  <si>
    <t xml:space="preserve">Platinum</t>
  </si>
  <si>
    <t xml:space="preserve">No. of Quotes</t>
  </si>
  <si>
    <t xml:space="preserve">Lowest Rate</t>
  </si>
  <si>
    <t xml:space="preserve">Lowest Vendor(s)</t>
  </si>
  <si>
    <t xml:space="preserve">Value @ Lowest Rate</t>
  </si>
  <si>
    <t xml:space="preserve">Remarks</t>
  </si>
  <si>
    <t xml:space="preserve">Rate</t>
  </si>
  <si>
    <t xml:space="preserve">Quoted Brand</t>
  </si>
  <si>
    <t xml:space="preserve">99-98-9120014-12-000-000</t>
  </si>
  <si>
    <t xml:space="preserve">INJECTION-TIRZEPATIDE 15 MG/0.5 ML</t>
  </si>
  <si>
    <t xml:space="preserve">TIRZATRIM (MACTER), ZEPTIDE(FEROZSONS), TIRVOX (HORIZON)</t>
  </si>
  <si>
    <t xml:space="preserve">EACH</t>
  </si>
  <si>
    <t xml:space="preserve">ZEPTIDE(FEROZSONS)</t>
  </si>
  <si>
    <t xml:space="preserve">99-98-9120014-11-000-000</t>
  </si>
  <si>
    <t xml:space="preserve">INJECTION-TIRZEPATIDE 7.5 MG/0.5 ML</t>
  </si>
  <si>
    <t xml:space="preserve">TIRZATRIM (MACTER), ZEPTIDE (FEROZSONS), TIRVOX (HORIZON)</t>
  </si>
  <si>
    <t xml:space="preserve">99-98-9120014-10-000-000</t>
  </si>
  <si>
    <t xml:space="preserve">INJECTION-TIRZEPATIDE 5 MG/0.5 ML</t>
  </si>
  <si>
    <t xml:space="preserve">TIRZATRIM(MACTER), ZEPTIDE (FEROZSONS), TIRVOX (HORIZON)</t>
  </si>
  <si>
    <t xml:space="preserve">99-98-9120014-09-000-000</t>
  </si>
  <si>
    <t xml:space="preserve">INJECTION-TIRZEPATIDE 2.5 MG/0.5 ML</t>
  </si>
  <si>
    <t xml:space="preserve">99-98-9120027-74-000-000</t>
  </si>
  <si>
    <t xml:space="preserve">SACHET-MONTELUKAST 4 MG</t>
  </si>
  <si>
    <t xml:space="preserve">FLOAID (ABBOTT), SOLO (ATCO), MONTIGET (GETZ), LUCAST (OBS/AGP), VENTEK (SEARLE), MYTEKA (HILTON), AEROKAST  (BH)</t>
  </si>
  <si>
    <t xml:space="preserve">PACKET</t>
  </si>
  <si>
    <t xml:space="preserve">AEROKAST</t>
  </si>
  <si>
    <t xml:space="preserve">Bosch</t>
  </si>
  <si>
    <t xml:space="preserve">FLOAID 4MG</t>
  </si>
  <si>
    <t xml:space="preserve">LUCAST (OBS/AGP)</t>
  </si>
  <si>
    <t xml:space="preserve">SOLO 4MG SACHET</t>
  </si>
  <si>
    <t xml:space="preserve">99-98-9120014-04-000-000</t>
  </si>
  <si>
    <t xml:space="preserve">INJECTION-ONDANSETRON 8 MG</t>
  </si>
  <si>
    <t xml:space="preserve">ONSEGET (GETZ), EMESSON (HIGHNOON), ZOFRAN (OBS/AGP), ONTIV (SAMI), ENDTRON (HORIZON), ONSET(PHARMEDIC)</t>
  </si>
  <si>
    <t xml:space="preserve">Horizon</t>
  </si>
  <si>
    <t xml:space="preserve">ZOFRAN (OBS/AGP)</t>
  </si>
  <si>
    <t xml:space="preserve">Aslam: pack 5'S</t>
  </si>
  <si>
    <t xml:space="preserve">99-98-9120020-22-000-000</t>
  </si>
  <si>
    <t xml:space="preserve">TABLET-IVERMECTIN 6 MG</t>
  </si>
  <si>
    <t xml:space="preserve">IVERMITE TAB (ATCO)</t>
  </si>
  <si>
    <t xml:space="preserve">IVERMITE 6MG TAB</t>
  </si>
  <si>
    <t xml:space="preserve">99-98-9120016-07-000-000</t>
  </si>
  <si>
    <t xml:space="preserve">SYRUP-PARACETAMOL FORTE 120 ML</t>
  </si>
  <si>
    <t xml:space="preserve">CALPOL PLUS (GSK), NUBEROL-P FORTE (SEARLE), FEBROL-DS (BH),PANADOL FORTE (HALEON)</t>
  </si>
  <si>
    <t xml:space="preserve">FEBROL-DS</t>
  </si>
  <si>
    <t xml:space="preserve">Haleon</t>
  </si>
  <si>
    <t xml:space="preserve">CALPOL 6 PLUS SYRUP</t>
  </si>
  <si>
    <t xml:space="preserve">NUBEROL-P FORTE 120ML SYP</t>
  </si>
  <si>
    <t xml:space="preserve">99-98-9120023-56-000-000</t>
  </si>
  <si>
    <t xml:space="preserve">OINTMENT-TRIAMCINOLONE 10 GM</t>
  </si>
  <si>
    <t xml:space="preserve">KENALOG (GSK), VALOLOG (VALOR)</t>
  </si>
  <si>
    <t xml:space="preserve">99-98-9120026-14-000-000</t>
  </si>
  <si>
    <t xml:space="preserve">OINTMENT-FLUTICASONE PROPIONATE WITH MUPIROCIN</t>
  </si>
  <si>
    <t xml:space="preserve">CUTIVATE-M (GSK)</t>
  </si>
  <si>
    <t xml:space="preserve">CUTIVATE OINT</t>
  </si>
  <si>
    <t xml:space="preserve">99-98-9120013-99-000-000</t>
  </si>
  <si>
    <t xml:space="preserve">INJECTION-PARACETAMOL 100 ML</t>
  </si>
  <si>
    <t xml:space="preserve">PROVAS (SAMI), NUBEROL P (SEARLE), OTSUMOL (OTSUKA)</t>
  </si>
  <si>
    <t xml:space="preserve">PROVAS</t>
  </si>
  <si>
    <t xml:space="preserve">Searle</t>
  </si>
  <si>
    <t xml:space="preserve">NUBEROL P 100ML INJ</t>
  </si>
  <si>
    <t xml:space="preserve">99-98-9120016-05-000-000</t>
  </si>
  <si>
    <t xml:space="preserve">SYRUP-MULTIVITAMIN WITH CARNITINE &amp; LYSINE 120 ML</t>
  </si>
  <si>
    <t xml:space="preserve">VI-DAYLIN L (ABBOTT), TRES ORIX Z (HIGHNOON), LYSOVIT (LCI),LEDERPLEX(LCI)</t>
  </si>
  <si>
    <t xml:space="preserve">VIDAYLIN L SYP</t>
  </si>
  <si>
    <t xml:space="preserve">TRES ORIX Z 120 ML SYRUP</t>
  </si>
  <si>
    <t xml:space="preserve">99-98-9120024-26-000-000</t>
  </si>
  <si>
    <t xml:space="preserve">DROP-NAPHAZOLINE (EYE)</t>
  </si>
  <si>
    <t xml:space="preserve">CURINE(SCHAZOO), EYCLEAR(REMINGTON), OPTILLERGE(VEGA), PREFRIN-A(BH)</t>
  </si>
  <si>
    <t xml:space="preserve">Schazoo</t>
  </si>
  <si>
    <t xml:space="preserve">99-98-9120020-11-000-000</t>
  </si>
  <si>
    <t xml:space="preserve">TABLET-ERTUGLIFLOZINE WITH METFORMIN 2.5/500 MG</t>
  </si>
  <si>
    <t xml:space="preserve">ERTUCO-M (ATCO), ERTAFLOZ-MET (HIGHNOON), ERTAHIL-MET (HILTON)</t>
  </si>
  <si>
    <t xml:space="preserve">ERTUCO-M 2.5/500MG TAB</t>
  </si>
  <si>
    <t xml:space="preserve">99-98-9120011-51-000-000</t>
  </si>
  <si>
    <t xml:space="preserve">CAPSULE-CEFIXIME 400 MG</t>
  </si>
  <si>
    <t xml:space="preserve">FIXICEF (ATCO), CEFIGET (GETZ), FIXVAL (GSK), EFIX HIGHNOON), CARICEF  (SAMI), CEFSPAN  (BH)</t>
  </si>
  <si>
    <t xml:space="preserve">CEFSPAN</t>
  </si>
  <si>
    <t xml:space="preserve">CINKLARE CAP (AGP)</t>
  </si>
  <si>
    <t xml:space="preserve">EFIX 400MG CAPSULE</t>
  </si>
  <si>
    <t xml:space="preserve">99-98-9120016-01-000-000</t>
  </si>
  <si>
    <t xml:space="preserve">SYRUP-CEFIXIME 200 MG 30ML</t>
  </si>
  <si>
    <t xml:space="preserve">FIXICEF DS (ATCO), CEFIGET DS (GETZ), EFIX DS (HIGHNOON), CARICEF-DS (SAMI), CEFIM-DS (HILTON), CEFSPAN-DS (BH)</t>
  </si>
  <si>
    <t xml:space="preserve">CEFSPAN-DS</t>
  </si>
  <si>
    <t xml:space="preserve">FIXICEF DS 200 MG 30ML SYRUP</t>
  </si>
  <si>
    <t xml:space="preserve">99-98-9120015-99-000-000</t>
  </si>
  <si>
    <t xml:space="preserve">SYRUP - ONDANSETRON 50 ML</t>
  </si>
  <si>
    <t xml:space="preserve">UBKINO (ATCO), EMESSON (HIGHNOON), ONDASET (OBS/AGP), ONTIV (SAMI), XORTRON (MCOLSON)</t>
  </si>
  <si>
    <t xml:space="preserve">ONTIV</t>
  </si>
  <si>
    <t xml:space="preserve">ONDASET (OBS/AGP)</t>
  </si>
  <si>
    <t xml:space="preserve">UBKINO 50ML SYRUP</t>
  </si>
  <si>
    <t xml:space="preserve">99-98-9120015-97-000-000</t>
  </si>
  <si>
    <t xml:space="preserve">SYRUP-AZITHROMYCIN 200 MG 15 ML</t>
  </si>
  <si>
    <t xml:space="preserve">AZATCO (ATCO), ZETRO (GETZ), AZIPOS (HIGHNOON), AZOMAX (OBS/AGP), AZITMA (SAMI)</t>
  </si>
  <si>
    <t xml:space="preserve">AZOMAX (OBS/AGP)</t>
  </si>
  <si>
    <t xml:space="preserve">AZIPOS 200MG 15ML SYRUP</t>
  </si>
  <si>
    <t xml:space="preserve">99-98-9120020-06-000-000</t>
  </si>
  <si>
    <t xml:space="preserve">TABLET-DAPAGLIPFOZIN 10 MG</t>
  </si>
  <si>
    <t xml:space="preserve">ATCODAP (ATCO), DAPLYZA  (GETZ), DAPLOZ  (HIGHNOON), DAPA (HILTON), FORZIGA (MCOLSON)</t>
  </si>
  <si>
    <t xml:space="preserve">DAPA</t>
  </si>
  <si>
    <t xml:space="preserve">ATCODAP 10MG TABLET</t>
  </si>
  <si>
    <t xml:space="preserve">99-98-9120020-04-000-000</t>
  </si>
  <si>
    <t xml:space="preserve">TABLET-MECOBALAMIN 500 MCG</t>
  </si>
  <si>
    <t xml:space="preserve">NERVON (GETZ), MOBLO (HIGHNOON), MECOVATE (OBS/AGP), MABIL (SAMI), SEREBAL (SEARLE), METHYCOBAL (HILTON), NEUROMET (MARTIN DOW)</t>
  </si>
  <si>
    <t xml:space="preserve">MABIL</t>
  </si>
  <si>
    <t xml:space="preserve">MECOVATE (OBS/AGP)</t>
  </si>
  <si>
    <t xml:space="preserve">MOBLO 500MCG TABLET</t>
  </si>
  <si>
    <t xml:space="preserve">99-98-9120020-03-000-000</t>
  </si>
  <si>
    <t xml:space="preserve">TABLET-AMLODIPINE WITH VALSARTAN 10/160 MG</t>
  </si>
  <si>
    <t xml:space="preserve">DIO PLUS (ATCO), COVAM (GETZ), BIFORGE / (HIGHNOON),EXFORGE (OBS/AGP), NORVASC V (OBS/AGP)</t>
  </si>
  <si>
    <t xml:space="preserve">NORVASC V (OBS/AGP)</t>
  </si>
  <si>
    <t xml:space="preserve">BIFORGE 10/160MG TABLET</t>
  </si>
  <si>
    <t xml:space="preserve">99-98-9120019-98-000-000</t>
  </si>
  <si>
    <t xml:space="preserve">TABLET-FEBUXOSTAT 40 MG</t>
  </si>
  <si>
    <t xml:space="preserve">URIGUARD (ATCO), ZURIG (GETZ), HILORIC (HIGHNOON), FEBUXIN (OBS/AGP), URIGO (SAMI)</t>
  </si>
  <si>
    <t xml:space="preserve">URIGO</t>
  </si>
  <si>
    <t xml:space="preserve">FEBSTAT 40MG (PHARMATEC)</t>
  </si>
  <si>
    <t xml:space="preserve">HILORIC 40MG TABLET</t>
  </si>
  <si>
    <t xml:space="preserve">99-98-9120019-92-000-000</t>
  </si>
  <si>
    <t xml:space="preserve">TABLET-MONTELUKAST 10 MG</t>
  </si>
  <si>
    <t xml:space="preserve">FLOAID (ABBOTT), SOLO (ATCO), MONTIGET (GETZ), MONTIT TAB (HIGHNOON), LUCAST (OBS/AGP),MYTEKA  (HILTON), AEROKAST (BH)</t>
  </si>
  <si>
    <t xml:space="preserve">FLOAID 10MG TAB</t>
  </si>
  <si>
    <t xml:space="preserve">SOLO 10MG TABLET</t>
  </si>
  <si>
    <t xml:space="preserve">Aslam: pack 14's</t>
  </si>
  <si>
    <t xml:space="preserve">99-98-9120026-13-000-000</t>
  </si>
  <si>
    <t xml:space="preserve">OINTMENT- NEOMYCIN WITH POLYMYXIN-B</t>
  </si>
  <si>
    <t xml:space="preserve">BACITRACIN &amp; LIGNOCAINE 18 GM, HEALIT (ATCO), XYLOAID (BH), MYCITRACIN PLUS (LCI), POLYFAX PLUS (GSK)</t>
  </si>
  <si>
    <t xml:space="preserve">POLYFAX PLUS</t>
  </si>
  <si>
    <t xml:space="preserve">MYCITRACIN PLUS (LCI)</t>
  </si>
  <si>
    <t xml:space="preserve">HEALIT 18GM OINTMENT</t>
  </si>
  <si>
    <t xml:space="preserve">99-98-9120019-77-000-000</t>
  </si>
  <si>
    <t xml:space="preserve">TABLET-MULTIVITAMIN TEEN FORMULA</t>
  </si>
  <si>
    <t xml:space="preserve">VI-DAYLIN- T (ABBOTT), SURBEX T (ABBOTT), KIDS ONE DAILY (ROUTE 2 HEALTH)</t>
  </si>
  <si>
    <t xml:space="preserve">SURBEX T TAB</t>
  </si>
  <si>
    <t xml:space="preserve">99-98-9120015-92-000-000</t>
  </si>
  <si>
    <t xml:space="preserve">SYRUP-SODIUM ACID CITRATE 150 ML</t>
  </si>
  <si>
    <t xml:space="preserve">CITRALKA (LCI), ALKACIT (FEROZSONS)</t>
  </si>
  <si>
    <t xml:space="preserve">CITRALKA 150ML SYRUP</t>
  </si>
  <si>
    <t xml:space="preserve">99-98-9120023-53-000-000</t>
  </si>
  <si>
    <t xml:space="preserve">GEL-METRONIDAZOLE 1% WITH CHLORHEXIDINE GLUCONATE 0.25%</t>
  </si>
  <si>
    <t xml:space="preserve">REVOMAT PLUS GEL(KAIZEN)</t>
  </si>
  <si>
    <t xml:space="preserve">Revomet Plus Gel</t>
  </si>
  <si>
    <t xml:space="preserve">99-98-9120027-27-000-000</t>
  </si>
  <si>
    <t xml:space="preserve">POWDER-ORS SACHET</t>
  </si>
  <si>
    <t xml:space="preserve">OSMOLAR (ATCO), PEDITRAL (ORS), HILYTE-R (HILTON), OEM (INDUS)</t>
  </si>
  <si>
    <t xml:space="preserve">ORTIE SACHET PACK OF 25S (OTSUKA)</t>
  </si>
  <si>
    <t xml:space="preserve">OSMOLAR POWDER-ORS SACHET</t>
  </si>
  <si>
    <t xml:space="preserve">99-98-9120026-03-000-000</t>
  </si>
  <si>
    <t xml:space="preserve">OINTMENT-BETAMETHASONE VALERATE WITH NEOMYCIN 20 GM</t>
  </si>
  <si>
    <t xml:space="preserve">BETADERM-N (ATCO), BETNOVATE N (GSK)</t>
  </si>
  <si>
    <t xml:space="preserve">BETNOVATE N OINT</t>
  </si>
  <si>
    <t xml:space="preserve">BETADERM-N 20GM OINTMENT</t>
  </si>
  <si>
    <t xml:space="preserve">99-98-9120023-15-000-000</t>
  </si>
  <si>
    <t xml:space="preserve">CREAM-HYDROCORTISONE WITH CLOTRIMAZOLE 20G</t>
  </si>
  <si>
    <t xml:space="preserve">CUREZOLE (ATCO), HYDROZOLE (HALEON), AQUAZOLE (MARTIN DOW)</t>
  </si>
  <si>
    <t xml:space="preserve">HYDROZOLE CREAM</t>
  </si>
  <si>
    <t xml:space="preserve">CANESTEN CLOTRIMAZOLE 20GM (BAYER))</t>
  </si>
  <si>
    <t xml:space="preserve">CUREZOLE 20G CREAM</t>
  </si>
  <si>
    <t xml:space="preserve">99-98-9120026-08-000-000</t>
  </si>
  <si>
    <t xml:space="preserve">OINTMENT-POLYMYXIN-B WITH ZINC BACITRACIN 6G(EYE)</t>
  </si>
  <si>
    <t xml:space="preserve">POLYFAX EYE (GSK)</t>
  </si>
  <si>
    <t xml:space="preserve">POLYFAX EYE OINT</t>
  </si>
  <si>
    <t xml:space="preserve">99-98-9120019-32-000-000</t>
  </si>
  <si>
    <t xml:space="preserve">TABLET-ALUMINIUM HYDROXIDE COMBINED</t>
  </si>
  <si>
    <t xml:space="preserve">WITH MAGNESIUM TRISILICATE, TRISIL(EFROZE), GELUSIL (LCI)</t>
  </si>
  <si>
    <t xml:space="preserve">99-98-9120018-77-000-000</t>
  </si>
  <si>
    <t xml:space="preserve">TABLET-ONDANSETRON 8 MG</t>
  </si>
  <si>
    <t xml:space="preserve">UBKINO (ATCO), ONSEGET (GETZ), EMESSON (HIGHNOON), ONDASET (ASPIN), ZOFRAN-AGP (OBS/AGP), ONTIV (SAMI), ADOSETRON   (SEARLE), ENDTRON (HORIZON), SEROBLOCK (MARTIN DOW),ONSET (PHARMEDIC)</t>
  </si>
  <si>
    <t xml:space="preserve">ZOFRAN-AGP (OBS/AGP)</t>
  </si>
  <si>
    <t xml:space="preserve">UBKINO 8MG TABLET</t>
  </si>
  <si>
    <t xml:space="preserve">99-98-9120018-75-000-000</t>
  </si>
  <si>
    <t xml:space="preserve">TABLET-PARACETAMOL WITH ORPHENADRINE</t>
  </si>
  <si>
    <t xml:space="preserve">SINAXAMOLEXTRA (OBS/AGP), PROVAS N FORTE (SAMI), NUBEROL FORTE (SEARLE)</t>
  </si>
  <si>
    <t xml:space="preserve">PROVAS N FORTE</t>
  </si>
  <si>
    <t xml:space="preserve">SINAXAMOLEXTRA (OBS/AGP)</t>
  </si>
  <si>
    <t xml:space="preserve">NUBEROL FORTE TABLET</t>
  </si>
  <si>
    <t xml:space="preserve">99-98-9120018-32-000-000</t>
  </si>
  <si>
    <t xml:space="preserve">TABLET-DIMEMORFAN PHOSPHATE 10 MG</t>
  </si>
  <si>
    <t xml:space="preserve">INVENTIVE (AMSON)</t>
  </si>
  <si>
    <t xml:space="preserve">99-98-9120017-42-000-000</t>
  </si>
  <si>
    <t xml:space="preserve">TABLET-RISEDRONATE SODIUM 150 MG</t>
  </si>
  <si>
    <t xml:space="preserve">ATCONATE (ATCO)</t>
  </si>
  <si>
    <t xml:space="preserve">ATCONATE 150MG TABLET</t>
  </si>
  <si>
    <t xml:space="preserve">99-98-9120017-25-000-000</t>
  </si>
  <si>
    <t xml:space="preserve">TABLET-CO-AMOXICLAV 625 MG</t>
  </si>
  <si>
    <t xml:space="preserve">AMCLAV (GETZ), AUGMENTIN (GSK), TERMIBEX (HIGHNOON), AMOXI-CLAV (OBS/AGP), SAM-CLAV (SAMI)</t>
  </si>
  <si>
    <t xml:space="preserve">SAM-CLAV</t>
  </si>
  <si>
    <t xml:space="preserve">AUGMENTIN 625MG TAB</t>
  </si>
  <si>
    <t xml:space="preserve">AMOXI-CLAV (OBS/AGP)</t>
  </si>
  <si>
    <t xml:space="preserve">Aslam: pack 6's</t>
  </si>
  <si>
    <t xml:space="preserve">99-98-9120017-23-000-000</t>
  </si>
  <si>
    <t xml:space="preserve">TABLET-CO-AMOXICLAV 1000 MG</t>
  </si>
  <si>
    <t xml:space="preserve">AMCLAV (GETZ), AUGMENTIN (GSK), AMOXI-CLAV (OBS/AGP), SAM-CLAV (SAMI)</t>
  </si>
  <si>
    <t xml:space="preserve">AUGMENTIN 1G TAB</t>
  </si>
  <si>
    <t xml:space="preserve">99-98-9120017-03-000-000</t>
  </si>
  <si>
    <t xml:space="preserve">TABLET-EMPAGLIFLOZIN WITH METFORMIN 5/500 MG</t>
  </si>
  <si>
    <t xml:space="preserve">ADRANCE -M (ATCO), DIAPMA-M (GETZ), EMJARD-M (HOECHST/ SANOFI), DIAJARD-M (HIGHNOON)</t>
  </si>
  <si>
    <t xml:space="preserve">DIAPMA-M (GETZ)</t>
  </si>
  <si>
    <t xml:space="preserve">DIAJARD-M 5/500MG TABLET</t>
  </si>
  <si>
    <t xml:space="preserve">99-98-9120017-32-000-000</t>
  </si>
  <si>
    <t xml:space="preserve">TABLET-FLURBIPROFEN 100 MG</t>
  </si>
  <si>
    <t xml:space="preserve">FROBEN (ABBOTT), ANSAID (LCI), SYNALGO (PLATINUM)</t>
  </si>
  <si>
    <t xml:space="preserve">FROBE 100MG TAB</t>
  </si>
  <si>
    <t xml:space="preserve">Synalgo</t>
  </si>
  <si>
    <t xml:space="preserve">99-98-9120013-85-000-000</t>
  </si>
  <si>
    <t xml:space="preserve">INJECTION-RINGER'S LACTATE 1000 ML</t>
  </si>
  <si>
    <t xml:space="preserve">MACSOLATE (SEARLE), RINGOLACT (OTSUKA), RINGER LACTATE (PACIFIC)</t>
  </si>
  <si>
    <t xml:space="preserve">99-98-9120019-74-000-000</t>
  </si>
  <si>
    <t xml:space="preserve">TABLET-ROSUVASTATIN 5 MG</t>
  </si>
  <si>
    <t xml:space="preserve">RUVASTAT (ABBOTT), ROVATOR (ATCO), ROVISTA (GETZ),ROSULIN (HIGHNOON), ROSUTROL (OBS/AGP), ROSERA (SAMI)</t>
  </si>
  <si>
    <t xml:space="preserve">ROSERA</t>
  </si>
  <si>
    <t xml:space="preserve">RUVASTAT 5MG TAB</t>
  </si>
  <si>
    <t xml:space="preserve">ROVISTA (GETZ)</t>
  </si>
  <si>
    <t xml:space="preserve">ROSULIN 5MG TABLET</t>
  </si>
  <si>
    <t xml:space="preserve">99-98-9120018-46-000-000</t>
  </si>
  <si>
    <t xml:space="preserve">TABLET-ASPIRIN 75 MG</t>
  </si>
  <si>
    <t xml:space="preserve">ASCARD (ATCO), LOPRIN (HIGHNOON), DISPRIN CV(RECKITT)</t>
  </si>
  <si>
    <t xml:space="preserve">Reckitt</t>
  </si>
  <si>
    <t xml:space="preserve">LOPRIN 75MG TABLET</t>
  </si>
  <si>
    <t xml:space="preserve">99-98-9120018-36-000-000</t>
  </si>
  <si>
    <t xml:space="preserve">TABLET-EBASTINE 10 MG</t>
  </si>
  <si>
    <t xml:space="preserve">EBAGET-D (GETZ), KESTINE (HIGHNOON), BECEPTOR- (SAMI)</t>
  </si>
  <si>
    <t xml:space="preserve">BECEPTOR</t>
  </si>
  <si>
    <t xml:space="preserve">EBAGET-D (GETZ)</t>
  </si>
  <si>
    <t xml:space="preserve">KESTINE 10MG TABLET</t>
  </si>
  <si>
    <t xml:space="preserve">99-98-9120024-19-000-000</t>
  </si>
  <si>
    <t xml:space="preserve">DROP-SODIUM PICOSULPHATE 30 ML</t>
  </si>
  <si>
    <t xml:space="preserve">SKILAX (HIGHNOON), CONSPIC (SAMI), LAXOBERON (MARTIN DOW)</t>
  </si>
  <si>
    <t xml:space="preserve">SKILAX 30ML DROP</t>
  </si>
  <si>
    <t xml:space="preserve">99-98-9120018-63-000-000</t>
  </si>
  <si>
    <t xml:space="preserve">TABLET-NEBIVOLOL 2.5 MG</t>
  </si>
  <si>
    <t xml:space="preserve">BYNEVOL (ATCO), NEBIL (GETZ), NEBIX (HIGHNOON), BYSCARD (SEARLE), NEBICARE (BH)</t>
  </si>
  <si>
    <t xml:space="preserve">NEBTEC 2.5MG (PHARMATEC)</t>
  </si>
  <si>
    <t xml:space="preserve">BYSCARD 2.5MG TABLET</t>
  </si>
  <si>
    <t xml:space="preserve">99-98-9120018-57-000-000</t>
  </si>
  <si>
    <t xml:space="preserve">TABLET-VITAMIN A &amp; D3 (50,000 IU)</t>
  </si>
  <si>
    <t xml:space="preserve">MY-D (ATCO), TYVOTAL (SEARLE)</t>
  </si>
  <si>
    <t xml:space="preserve">MY-D 50,000 IU TABLET</t>
  </si>
  <si>
    <t xml:space="preserve">99-98-9120017-59-000-000</t>
  </si>
  <si>
    <t xml:space="preserve">TABLET-CALCIUM WITH VITAMIN D2 &amp; VITAMIN K</t>
  </si>
  <si>
    <t xml:space="preserve">BMD-MAX TAB (ATCO), OSTEGEM (SEARLE), KALV (CCL)</t>
  </si>
  <si>
    <t xml:space="preserve">BMD-MAX TABLET</t>
  </si>
  <si>
    <t xml:space="preserve">99-98-9120019-07-000-000</t>
  </si>
  <si>
    <t xml:space="preserve">TABLET-PARACETAMOL WITH CODEINE &amp; CAFFEINE</t>
  </si>
  <si>
    <t xml:space="preserve">NAPADOC (ATCO), FEMIDOL PLUS (PACIFIC)</t>
  </si>
  <si>
    <t xml:space="preserve">99-98-9120018-39-000-000</t>
  </si>
  <si>
    <t xml:space="preserve">TABLET-BROMAZEPAM 3 MG</t>
  </si>
  <si>
    <t xml:space="preserve">ANXIT (ATCO), SAMBRO (SAMI), SAKOON (LCI),LEXOTANIL (MARTIN DOW)</t>
  </si>
  <si>
    <t xml:space="preserve">SAMBRO</t>
  </si>
  <si>
    <t xml:space="preserve">LEXOTANIL 3MG TABLET</t>
  </si>
  <si>
    <t xml:space="preserve">99-98-9120018-23-000-000</t>
  </si>
  <si>
    <t xml:space="preserve">TABLET-METFORMIN HYDROCHLORIDE-XR 750 MG</t>
  </si>
  <si>
    <t xml:space="preserve">GLUCOPHAGE-XR (MARTIN DOW), REGAIN-XR (WERRICK), NEOPHAGE-XR (ABBOTT)</t>
  </si>
  <si>
    <t xml:space="preserve">GLUCOPHAGE-XR 750 MG TABLET</t>
  </si>
  <si>
    <t xml:space="preserve">99-98-9120019-42-000-000</t>
  </si>
  <si>
    <t xml:space="preserve">TABLET-DICLOFENAC SODIUM 50 MG</t>
  </si>
  <si>
    <t xml:space="preserve">ARTIFEN (ABBOTT), PENFEN (ATCO), MAGNOFENAC (OBS/AGP), DICLORAN (SAMI), VOLTRAL (HALEON)</t>
  </si>
  <si>
    <t xml:space="preserve">DICLORAN</t>
  </si>
  <si>
    <t xml:space="preserve">ARTIFEN 50MG TAB</t>
  </si>
  <si>
    <t xml:space="preserve">VOLTRAL (NOVARTIS)</t>
  </si>
  <si>
    <t xml:space="preserve">99-98-9120017-49-000-000</t>
  </si>
  <si>
    <t xml:space="preserve">TABLET-MOXIFLOXACIN 400 MG</t>
  </si>
  <si>
    <t xml:space="preserve">MOKSI (ABBOTT), MOXIGET (GETZ), OXAQUIN (HIGHNOON), AVELOX TAB (OBS/AGP), MOFEST (SAMI), XEFECTA (HILTON), BARIMOX (BH)</t>
  </si>
  <si>
    <t xml:space="preserve">MOFEST</t>
  </si>
  <si>
    <t xml:space="preserve">MOKSI TAB</t>
  </si>
  <si>
    <t xml:space="preserve">MOXIGET (GETZ)</t>
  </si>
  <si>
    <t xml:space="preserve">OXAQUIN 400MG TABLET</t>
  </si>
  <si>
    <t xml:space="preserve">99-98-9120017-29-000-000</t>
  </si>
  <si>
    <t xml:space="preserve">TABLET-PHLOROGLUCINOL WITH TRIMETHYLPHLOROGLUCINOL</t>
  </si>
  <si>
    <t xml:space="preserve">ANAFORTAN PLUS (OBS/AGP), ORGLU (SAMI), SPASRID (BH)</t>
  </si>
  <si>
    <t xml:space="preserve">ORGLU</t>
  </si>
  <si>
    <t xml:space="preserve">ANAFORTAN PLUS (OBS/AGP)</t>
  </si>
  <si>
    <t xml:space="preserve">99-98-9120019-11-000-000</t>
  </si>
  <si>
    <t xml:space="preserve">TABLET-SERTRALINE 50 MG</t>
  </si>
  <si>
    <t xml:space="preserve">ZOLOFT (OBS/AGP), SERT (BH), ROZANTO (MARTIN DOW)</t>
  </si>
  <si>
    <t xml:space="preserve">SERT</t>
  </si>
  <si>
    <t xml:space="preserve">ZOLOFT (OBS/AGP)</t>
  </si>
  <si>
    <t xml:space="preserve">SERT 50MG TABLET</t>
  </si>
  <si>
    <t xml:space="preserve">99-98-9120024-10-000-000</t>
  </si>
  <si>
    <t xml:space="preserve">EYE DROP-DEXAMETHASONE WITH TOBRAMYCIN</t>
  </si>
  <si>
    <t xml:space="preserve">BRACIN-D (ATCO), TOBRADEX (OBS/AGP), EYEBRADEX (BH), TOBRAZAN-D (HORIZON)</t>
  </si>
  <si>
    <t xml:space="preserve">EYEBRADEX</t>
  </si>
  <si>
    <t xml:space="preserve">BRACIN-D EYE DROP</t>
  </si>
  <si>
    <t xml:space="preserve">99-98-9120017-58-000-000</t>
  </si>
  <si>
    <t xml:space="preserve">TABLET-BETAMETHASONE SODIUM 0.5 MG</t>
  </si>
  <si>
    <t xml:space="preserve">BETNELAN (GSK), BETNESOL (GSK)</t>
  </si>
  <si>
    <t xml:space="preserve">BETNELAN TAB</t>
  </si>
  <si>
    <t xml:space="preserve">99-98-9120023-10-000-000</t>
  </si>
  <si>
    <t xml:space="preserve">CREAM-CLOBETASOL TOPICAL 20 GM</t>
  </si>
  <si>
    <t xml:space="preserve">CLOBDERM (ATCO), DERMOVATE (GSK), CLOBEVATE (GSK), CLOBICARE (MARTIN DOW)</t>
  </si>
  <si>
    <t xml:space="preserve">CLOBEVATE CREAM</t>
  </si>
  <si>
    <t xml:space="preserve">CLOBDERM 20GM CREAM</t>
  </si>
  <si>
    <t xml:space="preserve">99-98-9120018-30-000-000</t>
  </si>
  <si>
    <t xml:space="preserve">TABLET-PROPRANOLOL 10 MG</t>
  </si>
  <si>
    <t xml:space="preserve">INDERAL TAB (LCI)</t>
  </si>
  <si>
    <t xml:space="preserve">99-98-9120023-44-000-000</t>
  </si>
  <si>
    <t xml:space="preserve">LOTION-PERMETHRIN 60 ML</t>
  </si>
  <si>
    <t xml:space="preserve">SCABFREE (ATCO), LOTRIX  (GSK), Z-X (MARTIN DOW), SCABRID (TABROS)</t>
  </si>
  <si>
    <t xml:space="preserve">SCABFREE 60ML LOTION</t>
  </si>
  <si>
    <t xml:space="preserve">99-98-9120024-14-000-000</t>
  </si>
  <si>
    <t xml:space="preserve">DROP-SODIUM CHLORIDE(NASAL) 30 ML</t>
  </si>
  <si>
    <t xml:space="preserve">NORSALINE-P (ATCO), XYNOSINE SALINE (ZAFA)</t>
  </si>
  <si>
    <t xml:space="preserve">NORSALINE-P NASAL DROP</t>
  </si>
  <si>
    <t xml:space="preserve">99-98-9120018-18-000-000</t>
  </si>
  <si>
    <t xml:space="preserve">TABLET-FOLIC ACID</t>
  </si>
  <si>
    <t xml:space="preserve">CYBELA (LCI), FOLIC ACID (ZAFA), FOLITAB (NABIQASIM)</t>
  </si>
  <si>
    <t xml:space="preserve">Zafa</t>
  </si>
  <si>
    <t xml:space="preserve">99-98-9120019-63-000-000</t>
  </si>
  <si>
    <t xml:space="preserve">TABLET-METFORMIN 500 MG</t>
  </si>
  <si>
    <t xml:space="preserve">NEOPHAGE (ABBOTT), NEODIPAR (HOECHST/ SANOFI), XORMET (HIGHNOON), GLUCOPHAGE (MARTIN DOW)</t>
  </si>
  <si>
    <t xml:space="preserve">GLUCOPHAGE 500MG TABLET</t>
  </si>
  <si>
    <t xml:space="preserve">99-98-9120019-34-000-000</t>
  </si>
  <si>
    <t xml:space="preserve">TABLET-RAMIPRIL 2.5 MG</t>
  </si>
  <si>
    <t xml:space="preserve">TRITACE (HOECHST/ SANOFI), LIPRA (OBS/AGP), RAMIPACE (PHARMEVO)</t>
  </si>
  <si>
    <t xml:space="preserve">Hochest</t>
  </si>
  <si>
    <t xml:space="preserve">RAMIPACE 2.5MG TABLET</t>
  </si>
  <si>
    <t xml:space="preserve">99-98-9120018-80-000-000</t>
  </si>
  <si>
    <t xml:space="preserve">TABLET-PARACETAMOL 500 MG; CALPOL  (GSK),FEBROL  (BH),PANADOL  (HALEON),DISPROL (RECKITT)</t>
  </si>
  <si>
    <t xml:space="preserve">FEBROL</t>
  </si>
  <si>
    <t xml:space="preserve">PANADOL TAB</t>
  </si>
  <si>
    <t xml:space="preserve">99-98-9120017-21-000-000</t>
  </si>
  <si>
    <t xml:space="preserve">TABLET-GLIMEPIRIDE WITH METFORMIN 2/500 MG</t>
  </si>
  <si>
    <t xml:space="preserve">GETFORMIN (GETZ), AMARYL-MSR (HOECHST/ SANOFI), NYLOMET (HIGHNOON),GLUCONORMET (OBS/AGP), G-PRIDE-M (SAMI)</t>
  </si>
  <si>
    <t xml:space="preserve">GETFORMIN (GETZ)</t>
  </si>
  <si>
    <t xml:space="preserve">99-98-9120024-24-000-000</t>
  </si>
  <si>
    <t xml:space="preserve">DROP-XYLOMETAZOLINE CF 0.05% (NASAL)</t>
  </si>
  <si>
    <t xml:space="preserve">XYNOSINE CF (ZAFA)</t>
  </si>
  <si>
    <t xml:space="preserve">99-98-9120024-16-000-000</t>
  </si>
  <si>
    <t xml:space="preserve">DROP-PARACETAMOL 30 ML</t>
  </si>
  <si>
    <t xml:space="preserve">PANADOL (HALEON),TEMPOL (WOODWARDS)</t>
  </si>
  <si>
    <t xml:space="preserve">PANADOL DROP</t>
  </si>
  <si>
    <t xml:space="preserve">99-98-9120019-45-000-000</t>
  </si>
  <si>
    <t xml:space="preserve">TABLET-ALPRAZOLAM 0.5 MG</t>
  </si>
  <si>
    <t xml:space="preserve">XANAX (OBS/AGP), ALP (HILTON), ANPRA (LCI), AZOLAM (MARTIN DOW)</t>
  </si>
  <si>
    <t xml:space="preserve">ALP</t>
  </si>
  <si>
    <t xml:space="preserve">AZOLAM 0.5MG TABLET</t>
  </si>
  <si>
    <t xml:space="preserve">99-98-9120019-22-000-000</t>
  </si>
  <si>
    <t xml:space="preserve">TABLET-NAPROXEN 500 MG</t>
  </si>
  <si>
    <t xml:space="preserve">FLEXIN (ABBOTT), ALCUFLEX (LCI), SYNFLEX (MARTIN DOW), DOLONAP  (PLATINUM)</t>
  </si>
  <si>
    <t xml:space="preserve">FLEXIN 500MG TAB</t>
  </si>
  <si>
    <t xml:space="preserve">SYNFLEX 500MG TABLET</t>
  </si>
  <si>
    <t xml:space="preserve">Dolonap</t>
  </si>
  <si>
    <t xml:space="preserve">99-98-9120019-01-000-000</t>
  </si>
  <si>
    <t xml:space="preserve">TABLET-ROSUVASTATIN 10 MG</t>
  </si>
  <si>
    <t xml:space="preserve">RUVASTAT (ABBOTT), ROVATOR (ATCO), ROVISTA (GETZ), ROSULIN (HIGHNOON), ROSERA  (SAMI)</t>
  </si>
  <si>
    <t xml:space="preserve">RUVASTAT 10MG TAB</t>
  </si>
  <si>
    <t xml:space="preserve">ROSULIN 10MG TABLET</t>
  </si>
  <si>
    <t xml:space="preserve">99-98-9120018-21-000-000</t>
  </si>
  <si>
    <t xml:space="preserve">99-98-9120018-09-000-000</t>
  </si>
  <si>
    <t xml:space="preserve">TABLET-ERTUGLIFLOZIN WITH SITAGLIPTIN 5/100 MG</t>
  </si>
  <si>
    <t xml:space="preserve">ERTUCO-S (ATCO), TREVIA-R (GETZ), ERTAFLOZ -S (HIGHNOON),ERTAHIL-SIT / (HILTON), ERTUGLU-S (HORIZON)</t>
  </si>
  <si>
    <t xml:space="preserve">TREVIA-R 2 (GETZ)</t>
  </si>
  <si>
    <t xml:space="preserve">ERTUCO-S 5/100MG TABLET</t>
  </si>
  <si>
    <t xml:space="preserve">99-98-9120017-74-000-000</t>
  </si>
  <si>
    <t xml:space="preserve">TABLET-ESCITALOPRAM 10 MG</t>
  </si>
  <si>
    <t xml:space="preserve">ATCOPRAM (ATCO), ESI-DEP(OBS/AGP), MORCET (SEARLE), CITANEW (HILTON), SERADEP (BH)</t>
  </si>
  <si>
    <t xml:space="preserve">CITANEW</t>
  </si>
  <si>
    <t xml:space="preserve">ESI-DEP(OBS/AGP)</t>
  </si>
  <si>
    <t xml:space="preserve">ATCOPRAM 10MG TABLET</t>
  </si>
  <si>
    <t xml:space="preserve">99-98-9120023-39-000-000</t>
  </si>
  <si>
    <t xml:space="preserve">LOTION-CLOBETASOL WITH SALICYLIC ACID 60 ML</t>
  </si>
  <si>
    <t xml:space="preserve">CLOBDERM S (ATCO)</t>
  </si>
  <si>
    <t xml:space="preserve">CLOBDERM S 60ML LOTION</t>
  </si>
  <si>
    <t xml:space="preserve">99-98-9120019-21-000-000</t>
  </si>
  <si>
    <t xml:space="preserve">TABLET-MULTIVITAMIN WITH MINERALS &amp; ZINC</t>
  </si>
  <si>
    <t xml:space="preserve">SURBEX-Z (ABBOTT), THERAGRAN ULTRA (GSK), VITRUM (SEARLE), CENTRUM SILVER (HALEON), ONCE A DAY A TO Z (CCL)</t>
  </si>
  <si>
    <t xml:space="preserve">SURBEX Z TAB</t>
  </si>
  <si>
    <t xml:space="preserve">THERAGRAN ULTRA (GSK)</t>
  </si>
  <si>
    <t xml:space="preserve">VITRUM TABLET</t>
  </si>
  <si>
    <t xml:space="preserve">99-98-9120018-42-000-000</t>
  </si>
  <si>
    <t xml:space="preserve">TABLET-ATORVASTATIN 20 MG</t>
  </si>
  <si>
    <t xml:space="preserve">LIPIGET (GETZ), LIPIREX (HIGHNOON), LIPITOR  (OBS/AGP), TRUVA (SAMI), SENSICON (BH)</t>
  </si>
  <si>
    <t xml:space="preserve">TRUVA</t>
  </si>
  <si>
    <t xml:space="preserve">LIPITOR (OBS/AGP)</t>
  </si>
  <si>
    <t xml:space="preserve">LIPIREX 20MG TABLET</t>
  </si>
  <si>
    <t xml:space="preserve">99-98-9120018-69-000-000</t>
  </si>
  <si>
    <t xml:space="preserve">TABLET-AMLODIPINE 5 MG</t>
  </si>
  <si>
    <t xml:space="preserve">NORVASC (OBS/AGP), ONATO (SAMI), AMPRESS (BH), PRESCARD (LCI), LODOPIN (MARTIN DOW)</t>
  </si>
  <si>
    <t xml:space="preserve">NORVASC (OBS/AGP)</t>
  </si>
  <si>
    <t xml:space="preserve">LODOPIN 5MG TABLET</t>
  </si>
  <si>
    <t xml:space="preserve">99-98-9120018-44-000-000</t>
  </si>
  <si>
    <t xml:space="preserve">TABLET-ATORVASTATIN 10 MG</t>
  </si>
  <si>
    <t xml:space="preserve">LIPIGET (GETZ), LIPIREX (HIGHNOON), LIPITOR (OBS/AGP), TRUVA (SAMI), ELWAS (MCOLSON), STATIN (PLATINUM)</t>
  </si>
  <si>
    <t xml:space="preserve">LIPIREX 10MG TABLET</t>
  </si>
  <si>
    <t xml:space="preserve">Statin</t>
  </si>
  <si>
    <t xml:space="preserve">99-98-9120018-06-000-000</t>
  </si>
  <si>
    <t xml:space="preserve">TABLET-ATTAPULGITE</t>
  </si>
  <si>
    <t xml:space="preserve">ENTOX-P (LCI)</t>
  </si>
  <si>
    <t xml:space="preserve">99-98-9120017-36-000-000</t>
  </si>
  <si>
    <t xml:space="preserve">TABLET-IBUPROFEN WITH PSEUDOEPHEDRINE 400 MG</t>
  </si>
  <si>
    <t xml:space="preserve">ARINAC FORTE (ABBOTT)</t>
  </si>
  <si>
    <t xml:space="preserve">ARINAC FORT TAB</t>
  </si>
  <si>
    <t xml:space="preserve">99-98-9120027-18-000-000</t>
  </si>
  <si>
    <t xml:space="preserve">NEBULISER-BECLOMETHASONE WITH SALBUTAMOL</t>
  </si>
  <si>
    <t xml:space="preserve">CLENIL COMP A NEBULISER (CHIESI)</t>
  </si>
  <si>
    <t xml:space="preserve">99-98-9120011-42-000-000</t>
  </si>
  <si>
    <t xml:space="preserve">CAPSULE-DEXLANSOPRAZOLE 30 MG</t>
  </si>
  <si>
    <t xml:space="preserve">RAZODEX (GETZ), DXL (HIGHNOON), DAPLAZOL (OBS/AGP), DELANZO (SAMI), DEXXOO (HORIZON),BIFASIC (MCOLSON)</t>
  </si>
  <si>
    <t xml:space="preserve">DELANZO</t>
  </si>
  <si>
    <t xml:space="preserve">DAPLAZOL (OBS/AGP)</t>
  </si>
  <si>
    <t xml:space="preserve">DXL 30MG CAPSULE</t>
  </si>
  <si>
    <t xml:space="preserve">99-98-9120017-73-000-000</t>
  </si>
  <si>
    <t xml:space="preserve">TABLET-CIPROFLOXACIN 500 MG</t>
  </si>
  <si>
    <t xml:space="preserve">CIPESTA (GETZ), CIPVAL (GSK), CYROCIN (HIGHNOON), CIPROXIN (OBS/AGP), NOVIDAT (SAMI), MERCIP (MARTIN DOW)</t>
  </si>
  <si>
    <t xml:space="preserve">NOVIDAT</t>
  </si>
  <si>
    <t xml:space="preserve">CIPROXIN (OBS)</t>
  </si>
  <si>
    <t xml:space="preserve">CYROCIN 500MG TABLET</t>
  </si>
  <si>
    <t xml:space="preserve">99-98-9120019-61-000-000</t>
  </si>
  <si>
    <t xml:space="preserve">TABLET-DICLOFENAC POTASSIUM 50 MG</t>
  </si>
  <si>
    <t xml:space="preserve">DICLOREP (SAMI), MAXIT (HILTON), ARTIMOV-K (BH), CAFLAM (HALEON)</t>
  </si>
  <si>
    <t xml:space="preserve">DICLOREP</t>
  </si>
  <si>
    <t xml:space="preserve">CAFLAM (NOVARTIS)</t>
  </si>
  <si>
    <t xml:space="preserve">99-98-9120017-99-000-000</t>
  </si>
  <si>
    <t xml:space="preserve">TABLET-VALSARTAN 80 MG</t>
  </si>
  <si>
    <t xml:space="preserve">COVA (GETZ), VALFORGE (HIGHNOON), DIOVAN (OBS/AGP), SEVIA (SAMI), ARBIVAL (MCOLSON)</t>
  </si>
  <si>
    <t xml:space="preserve">COVA (GETZ)</t>
  </si>
  <si>
    <t xml:space="preserve">99-98-9120018-16-000-000</t>
  </si>
  <si>
    <t xml:space="preserve">TABLET-METRONIDAZOLE 400 MG</t>
  </si>
  <si>
    <t xml:space="preserve">FLAGYL (HOECHST/ SANOFI), KLINT (SAMI), METROZINE (SEARLE),GRAMEX (PLATINUM)</t>
  </si>
  <si>
    <t xml:space="preserve">Gramex</t>
  </si>
  <si>
    <t xml:space="preserve">99-98-9120018-01-000-000</t>
  </si>
  <si>
    <t xml:space="preserve">TABLET-ASPIRIN 300 MG</t>
  </si>
  <si>
    <t xml:space="preserve">ASCARD (ATCO), DISPRIN (RECKITT)</t>
  </si>
  <si>
    <t xml:space="preserve">DISPRIN 300MG TABLET</t>
  </si>
  <si>
    <t xml:space="preserve">99-98-9120023-49-000-000</t>
  </si>
  <si>
    <t xml:space="preserve">NASAL SPRAY-XYLOMETAZOLINE-AQ 0.1% 15 ML</t>
  </si>
  <si>
    <t xml:space="preserve">XOLISAN (SANTE), XYNOSINE AQ (ZAFA), METAZOLINE (VEGA)</t>
  </si>
  <si>
    <t xml:space="preserve">99-98-9120015-76-000-000</t>
  </si>
  <si>
    <t xml:space="preserve">SYRUP-MULTIVITAMIN WITH B COMPLEX 120 ML</t>
  </si>
  <si>
    <t xml:space="preserve">VI-DAYLIN (ABBOTT), REGNUM (LCI), POLYBION FORTE (MARTIN DOW)</t>
  </si>
  <si>
    <t xml:space="preserve">VIDAYLIN SYRUP</t>
  </si>
  <si>
    <t xml:space="preserve">POLYBION FORTE 120ML SYRUP</t>
  </si>
  <si>
    <t xml:space="preserve">99-98-9120015-75-000-000</t>
  </si>
  <si>
    <t xml:space="preserve">SYRUP-MEBENDAZOLE 100 MG 30 ML</t>
  </si>
  <si>
    <t xml:space="preserve">VERMOX (OBS/AGP)</t>
  </si>
  <si>
    <t xml:space="preserve">VERMOX (ASPIN)</t>
  </si>
  <si>
    <t xml:space="preserve">99-98-9120015-73-000-000</t>
  </si>
  <si>
    <t xml:space="preserve">SYRUP-SUCRALFATE 1G/5ML 20 ML</t>
  </si>
  <si>
    <t xml:space="preserve">ULSANIC (HIGHNOON), SUCTAL (HORIZON)</t>
  </si>
  <si>
    <t xml:space="preserve">ULSANIC 1G/5ML 20ML SYRUP</t>
  </si>
  <si>
    <t xml:space="preserve">99-98-9120015-58-000-000</t>
  </si>
  <si>
    <t xml:space="preserve">SYRUP-CALCIUM CARBONATE WITH  VITAMIN D3 120 ML</t>
  </si>
  <si>
    <t xml:space="preserve">OSNATE-D (OBS/AGP), INTIG-D (SAMI), ESEGROW (BH), CAL-ONE (MARTIN DOW), OSSOBON-D  (PLATINUM)</t>
  </si>
  <si>
    <t xml:space="preserve">OSNATE-D (OBS/AGP)</t>
  </si>
  <si>
    <t xml:space="preserve">Ossobon-D</t>
  </si>
  <si>
    <t xml:space="preserve">99-98-9120015-49-000-000</t>
  </si>
  <si>
    <t xml:space="preserve">SYRUP-DIMEMORFAN PHOSPHATE 60 ML</t>
  </si>
  <si>
    <t xml:space="preserve">99-98-9120015-48-000-000</t>
  </si>
  <si>
    <t xml:space="preserve">SYRUP-DEXTROMETHORPHAN CONTAINING COUGH SUPPRESENT 120 ML; HYDRYLLIN-DM  (SEARLE), DAYCOR (ABBOTT), NICOR (ABBOTT)</t>
  </si>
  <si>
    <t xml:space="preserve">HYDRYLLIN-DM 120 ML SYRUP</t>
  </si>
  <si>
    <t xml:space="preserve">99-98-9120015-47-000-000</t>
  </si>
  <si>
    <t xml:space="preserve">SYRUP-EXPECTORANT COUGH PREPARATION CONTAINING AMINOPHYLLINE &amp; AMMONIUM CHLORIDE 120 ML</t>
  </si>
  <si>
    <t xml:space="preserve">HYDRYLLIN PLAIN (SEARLE), ACEFYL COUGH (NABI QASIM),  TRIAMINIC (NOVARTIS), COSOME-E (MARTIN DOW)</t>
  </si>
  <si>
    <t xml:space="preserve">Nabi Qasim</t>
  </si>
  <si>
    <t xml:space="preserve">COSOME-E (MARTIN DOW)</t>
  </si>
  <si>
    <t xml:space="preserve">COSOME-E COUGH 120ML SYRUP</t>
  </si>
  <si>
    <t xml:space="preserve">99-98-9120015-44-000-000</t>
  </si>
  <si>
    <t xml:space="preserve">SYRUP-DIMENHYDRINATE 60 ML</t>
  </si>
  <si>
    <t xml:space="preserve">GRAVINATE (SEARLE)</t>
  </si>
  <si>
    <t xml:space="preserve">99-98-9120015-42-000-000</t>
  </si>
  <si>
    <t xml:space="preserve">SYRUP-ANTACID WITH ALGINATE COMPOUND &amp; SODIUM BI CARBONATE 120 ML</t>
  </si>
  <si>
    <t xml:space="preserve">DIJEX-M (ABBOTT), LAGITA  (SAMI), MUCAIN (LCI), GAVISCON  (RECKITT)</t>
  </si>
  <si>
    <t xml:space="preserve">LAGITA</t>
  </si>
  <si>
    <t xml:space="preserve">DIJEX MP SYP</t>
  </si>
  <si>
    <t xml:space="preserve">GAVISCON 120ML SYRUP</t>
  </si>
  <si>
    <t xml:space="preserve">99-98-9120015-37-000-000</t>
  </si>
  <si>
    <t xml:space="preserve">SYRUP-LACTULOSE 120 ML</t>
  </si>
  <si>
    <t xml:space="preserve">DUPHALAC (ABBOTT), LILAC  (GETZ), LUXAVE (SEARLE), LAEVOLAC  (HILTON), FLORALAC  (PLATINUM)</t>
  </si>
  <si>
    <t xml:space="preserve">DUPHALAC SYRUP</t>
  </si>
  <si>
    <t xml:space="preserve">99-98-9120015-36-000-000</t>
  </si>
  <si>
    <t xml:space="preserve">SYRUP-DOMPERIDONE MALEATE 60 ML</t>
  </si>
  <si>
    <t xml:space="preserve">MOTILLIUM (OBS/AGP), PERIDONE (SAMI), DOMEL (BH), REMATO (HORIZON), EMISET (PLATINUM)</t>
  </si>
  <si>
    <t xml:space="preserve">BH DOMEL</t>
  </si>
  <si>
    <t xml:space="preserve">MOTILLIUM (ASPIN)</t>
  </si>
  <si>
    <t xml:space="preserve">Emiset</t>
  </si>
  <si>
    <t xml:space="preserve">99-98-9120015-28-000-000</t>
  </si>
  <si>
    <t xml:space="preserve">SYRUP-COUGH PREPARATION CONTAINING PARACETAMOL WITH</t>
  </si>
  <si>
    <t xml:space="preserve">PSEUDOEPHEDRINE,CHLORPHENIRAMINE &amp; DIPHENHYDRAMINE 120 ML, COFCOL (ABBOTT), RELTUS DM (PHARMATEC), RONDEC C(ABBOTT)</t>
  </si>
  <si>
    <t xml:space="preserve">COFCOL SYRUP</t>
  </si>
  <si>
    <t xml:space="preserve">RELTUS DM (PHARMATEC)</t>
  </si>
  <si>
    <t xml:space="preserve">99-98-9120015-18-000-000</t>
  </si>
  <si>
    <t xml:space="preserve">SYRUP-IBUPROFEN 100 MG 120 ML</t>
  </si>
  <si>
    <t xml:space="preserve">BRUFEN (ABBOTT), KALOS (LCI)</t>
  </si>
  <si>
    <t xml:space="preserve">BRUFEN SYRUP</t>
  </si>
  <si>
    <t xml:space="preserve">99-98-9120015-16-000-000</t>
  </si>
  <si>
    <t xml:space="preserve">SYRUP-IRON POLYMALTOSE 60 ML</t>
  </si>
  <si>
    <t xml:space="preserve">ADDFER (ATCO), MALTOFER (OBS/AGP), BISLERI (SAMI), FOLIFUR (SEARLE), FEROSOFT (HILTON), POLYFER (BH)</t>
  </si>
  <si>
    <t xml:space="preserve">POLYFER</t>
  </si>
  <si>
    <t xml:space="preserve">ADDFER 60ML SYRUP</t>
  </si>
  <si>
    <t xml:space="preserve">99-98-9120015-10-000-000</t>
  </si>
  <si>
    <t xml:space="preserve">SYRUP-CO-AMOXICLAV 312.50 MG 90 ML</t>
  </si>
  <si>
    <t xml:space="preserve">AMCLAV (GETZ), AUGMENTIN (GSK), AMOXI-CLAV (OBS/AGP), SAM-CLAV (SAMI), FORTECIN (SEARLE)</t>
  </si>
  <si>
    <t xml:space="preserve">AUGMENTIN SYP. 312.5mg</t>
  </si>
  <si>
    <t xml:space="preserve">AMCLAV (GETZ)</t>
  </si>
  <si>
    <t xml:space="preserve">99-98-9120015-09-000-000</t>
  </si>
  <si>
    <t xml:space="preserve">SYRUP-CO-AMOXICLAV 156.25 MG 90 ML</t>
  </si>
  <si>
    <t xml:space="preserve">AMCLAV (GETZ), AUGMENTIN (GSK), TERMIBEX (HIGHNOON), AMOXI-CLAV (OBS/AGP), SAM-CLAV (SAMI), FORTECIN (SEARLE)</t>
  </si>
  <si>
    <t xml:space="preserve">AUGMENTIN SYRUP 156.25mg</t>
  </si>
  <si>
    <t xml:space="preserve">99-98-9120015-08-000-000</t>
  </si>
  <si>
    <t xml:space="preserve">SYRUP-IBUPROFEN WITH PSEUDOEPHEDRINE 120 ML</t>
  </si>
  <si>
    <t xml:space="preserve">ARINAC (ABBOTT)</t>
  </si>
  <si>
    <t xml:space="preserve">ARINAC SYRUP</t>
  </si>
  <si>
    <t xml:space="preserve">99-98-9120013-74-000-000</t>
  </si>
  <si>
    <t xml:space="preserve">INJECTION-TRAMADOL 2 ML</t>
  </si>
  <si>
    <t xml:space="preserve">PANTRA (GETZ), CALFINA (OBS/AGP), TONOFLEX (SAMI), TRAMAL (SEARLE), BARITRAL (BH)</t>
  </si>
  <si>
    <t xml:space="preserve">TONOFLEX</t>
  </si>
  <si>
    <t xml:space="preserve">PANTRA (GETZ)</t>
  </si>
  <si>
    <t xml:space="preserve">TRAMAL 2ML INJECTION</t>
  </si>
  <si>
    <t xml:space="preserve">99-98-9120013-73-000-000</t>
  </si>
  <si>
    <t xml:space="preserve">INJECTION-KETOROLAC TROMETAMOL 30 MG 1ML</t>
  </si>
  <si>
    <t xml:space="preserve">KETROLAC (SEARLE), KETOBAR (BH), KETRODAL (LCI), KATOROMAC (MCOLSON), TORADOL (MARTIN DOW)</t>
  </si>
  <si>
    <t xml:space="preserve">KETOBAR</t>
  </si>
  <si>
    <t xml:space="preserve">KETRODAL 30MG 1ML INJECTION</t>
  </si>
  <si>
    <t xml:space="preserve">99-98-9120013-55-000-000</t>
  </si>
  <si>
    <t xml:space="preserve">INJECTION-NORMAL SALINE 100 ML (PIGGY PACK)</t>
  </si>
  <si>
    <t xml:space="preserve">NORMAL SALINE (SEARLE), NORMAL SALINE (OTSUKA), NORMAL SALINE (PACIFIC)</t>
  </si>
  <si>
    <t xml:space="preserve">99-98-9120013-54-000-000</t>
  </si>
  <si>
    <t xml:space="preserve">INJECTION-MULTIVITAMIN WITH B COMPLEX</t>
  </si>
  <si>
    <t xml:space="preserve">MULTIBIONTA (MARTIN DOW), BEJACTAL T (ABBOTT), NEUROBION (MARTIN DOW)</t>
  </si>
  <si>
    <t xml:space="preserve">NEUROBION INJECTION</t>
  </si>
  <si>
    <t xml:space="preserve">99-98-9120013-49-000-000</t>
  </si>
  <si>
    <t xml:space="preserve">INJECTION-INSULIN GLARGINE 100 IU</t>
  </si>
  <si>
    <t xml:space="preserve">BASAGINE (GETZ), LANTUS SOLOSTAR (HOECHST/ SANOFI)</t>
  </si>
  <si>
    <t xml:space="preserve">BASAGINE (GETZ)</t>
  </si>
  <si>
    <t xml:space="preserve">99-98-9120013-38-000-000</t>
  </si>
  <si>
    <t xml:space="preserve">INJECTION-DIMENHYDRINATE 1 ML</t>
  </si>
  <si>
    <t xml:space="preserve">GRAVINATE 1ML INJECTION</t>
  </si>
  <si>
    <t xml:space="preserve">99-98-9120013-35-000-000</t>
  </si>
  <si>
    <t xml:space="preserve">INJECTION-AMIKACIN 250 MG</t>
  </si>
  <si>
    <t xml:space="preserve">GRASIL (SAMI), AMKAY (BOSCH)</t>
  </si>
  <si>
    <t xml:space="preserve">GRASIL 250</t>
  </si>
  <si>
    <t xml:space="preserve">99-98-9120013-23-000-000</t>
  </si>
  <si>
    <t xml:space="preserve">INJECTION-DICLOFENAC SODIUM 3 ML</t>
  </si>
  <si>
    <t xml:space="preserve">ARTIFEN (ABBOTT), MAGNOFENAC (OBS/AGP), DICLORAN (SAMI), VOLTRAL-NOVARTIS (HALEON)</t>
  </si>
  <si>
    <t xml:space="preserve">DICLORAN INJ</t>
  </si>
  <si>
    <t xml:space="preserve">99-98-9120013-15-000-000</t>
  </si>
  <si>
    <t xml:space="preserve">INJECTION-PHENIRAMINE MALEATE 2 ML</t>
  </si>
  <si>
    <t xml:space="preserve">AVIL (HOECHST/ SANOFI), ZAFVIL (ZAFA)</t>
  </si>
  <si>
    <t xml:space="preserve">99-98-9120013-14-000-000</t>
  </si>
  <si>
    <t xml:space="preserve">INJECTION-INSULIN GLULISINE 100 IU</t>
  </si>
  <si>
    <t xml:space="preserve">APIDRA SOLOSTAR (HOECHST/ SANOFI)</t>
  </si>
  <si>
    <t xml:space="preserve">99-98-9120013-12-000-000</t>
  </si>
  <si>
    <t xml:space="preserve">INJECTION-CHOLECALCIFEROL (VIT D3) 200000 IU</t>
  </si>
  <si>
    <t xml:space="preserve">D-ALL (ATCO), MIURA-D (GETZ), NUMTROL (HIGHNOON), ALL-D (OBS/AGP), D-TRES (SAMI), EXEDOR-D (MCOLSON)</t>
  </si>
  <si>
    <t xml:space="preserve">D-TRES</t>
  </si>
  <si>
    <t xml:space="preserve">MIURA-D (GETZ)</t>
  </si>
  <si>
    <t xml:space="preserve">D-ALL 200000 IU INJECTION</t>
  </si>
  <si>
    <t xml:space="preserve">99-98-9120013-10-000-000</t>
  </si>
  <si>
    <t xml:space="preserve">INJECTION-CIPROFLOXACIN 200 MG</t>
  </si>
  <si>
    <t xml:space="preserve">CIPESTA (GETZ), CIPROXIN (OBS/AGP), NOVIDAT (SAMI), MERCIP (MARTIN DOW)</t>
  </si>
  <si>
    <t xml:space="preserve">99-98-9120011-34-000-000</t>
  </si>
  <si>
    <t xml:space="preserve">CAPSULE-FLUNARIZINE 5 MG</t>
  </si>
  <si>
    <t xml:space="preserve">SIBELIUM (OBS/AGP)</t>
  </si>
  <si>
    <t xml:space="preserve">SIBELIUM (ASPIN)</t>
  </si>
  <si>
    <t xml:space="preserve">99-98-9120011-33-000-000</t>
  </si>
  <si>
    <t xml:space="preserve">CAPSULE-MULTIVITAMIN WITH IERON &amp; FOLIC ACID PREPARATION</t>
  </si>
  <si>
    <t xml:space="preserve">FEFOL-VIT (GSK), SANGOBION (MARTIN DOW), THERAGRAN H (GSK)</t>
  </si>
  <si>
    <t xml:space="preserve">FEFOLVIT CAP</t>
  </si>
  <si>
    <t xml:space="preserve">SANGOBION CAPSULE</t>
  </si>
  <si>
    <t xml:space="preserve">99-98-9120011-24-000-000</t>
  </si>
  <si>
    <t xml:space="preserve">CAPSULE-THIOCOLCHICOSIDE 4 MG</t>
  </si>
  <si>
    <t xml:space="preserve">MUSCORIL (HOECHST/ SANOFI), COLRIL (SEARLE), MUCOGIN (HORIZON), BRUSPAZ (MCOLSON), RECLINE (PLATINUM)</t>
  </si>
  <si>
    <t xml:space="preserve">Recline</t>
  </si>
  <si>
    <t xml:space="preserve">99-98-9120011-21-000-000</t>
  </si>
  <si>
    <t xml:space="preserve">CAPSULE-LOPERAMIDE</t>
  </si>
  <si>
    <t xml:space="preserve">IMODIUM (OBS/AGP), FLORAMEX(ZAFA), EMOD(EFROZE)</t>
  </si>
  <si>
    <t xml:space="preserve">IMODIUM (ASPIN)</t>
  </si>
  <si>
    <t xml:space="preserve">99-98-9120011-07-000-000</t>
  </si>
  <si>
    <t xml:space="preserve">CAPSULE-IRON POLYMALTOSE WITH FOLIC ACID</t>
  </si>
  <si>
    <t xml:space="preserve">ADDFER-F.TAB (ATCO), RUBIFER (OBS/AGP), BISLERI CAP (SAMI), FEROSOFT (HILTON), POLYFER-FA-TAB (BH)</t>
  </si>
  <si>
    <t xml:space="preserve">FEROSOFT</t>
  </si>
  <si>
    <t xml:space="preserve">RUBIFER -F CHEWABLE(OBS/AGP)</t>
  </si>
  <si>
    <t xml:space="preserve">ADDFER-F.TAB CAPSULE</t>
  </si>
  <si>
    <t xml:space="preserve">99-98-9120011-06-000-000</t>
  </si>
  <si>
    <t xml:space="preserve">CAPSULE - AZITHROMYCIN 250 MG</t>
  </si>
  <si>
    <t xml:space="preserve">ZITHROMAX (LCI), ZETRO (GETZ), AZIPOS (HIGHNOON), AZOMAX (OBS/AGP), AZITMA (SAMI)</t>
  </si>
  <si>
    <t xml:space="preserve">AZITMA</t>
  </si>
  <si>
    <t xml:space="preserve">AZIPOS 250MG CAPSULE</t>
  </si>
  <si>
    <t xml:space="preserve">TOTAL VALUE AT LOWEST RATES</t>
  </si>
  <si>
    <t xml:space="preserve">VENDOR-WISE SUMMARY</t>
  </si>
  <si>
    <t xml:space="preserve">Vendor</t>
  </si>
  <si>
    <t xml:space="preserve">Items Quoted</t>
  </si>
  <si>
    <t xml:space="preserve">Items at Lowest Rate (L1)</t>
  </si>
  <si>
    <t xml:space="preserve">Value of L1 Items</t>
  </si>
  <si>
    <t xml:space="preserve">Items with no quote</t>
  </si>
  <si>
    <t xml:space="preserve">Total items in RFQ</t>
  </si>
  <si>
    <t xml:space="preserve">Notes:</t>
  </si>
  <si>
    <t xml:space="preserve">1. Where two or more vendors quote the same lowest rate (tie), all are shown and each is counted as L1 above.</t>
  </si>
  <si>
    <t xml:space="preserve">2. Aslam quoted company/manufacturer names (e.g. Bosch, Searle, Haleon) instead of brand names, and gave no totals.</t>
  </si>
  <si>
    <t xml:space="preserve">3. Some vendors stated pack sizes in remarks (e.g. Aslam "6's", "14's") – confirm pack size matches the UOM before award.</t>
  </si>
  <si>
    <t xml:space="preserve">4. NMMC "NIL" and Platinum "NA" entries are treated as not quoted.</t>
  </si>
  <si>
    <t xml:space="preserve">5. Source: vendor RFQ files Ahsan.xls, Aslam.xls, Jamil.xls, Muller.xls, NMMC.xls, Platinum.xls (rates entered as received).</t>
  </si>
  <si>
    <t xml:space="preserve">6. Aslam_2.xls was checked cell by cell and is identical to Aslam.xls (same rates, brands, remarks), so it is not shown as a separate vendor.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</si>
</sst>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#,##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C6EFC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D9E1F2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ont>
        <name val="Arial"/>
        <charset val="1"/>
        <family val="0"/>
        <b val="1"/>
        <color rgb="FF006100"/>
      </font>
      <fill>
        <patternFill>
          <bgColor rgb="FFC6EFCE"/>
        </patternFill>
      </fill>
    </dxf>
    <dxf>
      <font>
        <name val="Arial"/>
        <charset val="1"/>
        <family val="0"/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W1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G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4"/>
    <col collapsed="false" customWidth="true" hidden="false" outlineLevel="0" max="4" min="3" style="0" width="34"/>
    <col collapsed="false" customWidth="true" hidden="false" outlineLevel="0" max="5" min="5" style="0" width="8"/>
    <col collapsed="false" customWidth="true" hidden="false" outlineLevel="0" max="6" min="6" style="0" width="7"/>
    <col collapsed="false" customWidth="true" hidden="false" outlineLevel="0" max="7" min="7" style="0" width="10"/>
    <col collapsed="false" customWidth="true" hidden="false" outlineLevel="0" max="8" min="8" style="0" width="22"/>
    <col collapsed="false" customWidth="true" hidden="false" outlineLevel="0" max="9" min="9" style="0" width="10"/>
    <col collapsed="false" customWidth="true" hidden="false" outlineLevel="0" max="10" min="10" style="0" width="22"/>
    <col collapsed="false" customWidth="true" hidden="false" outlineLevel="0" max="11" min="11" style="0" width="10"/>
    <col collapsed="false" customWidth="true" hidden="false" outlineLevel="0" max="12" min="12" style="0" width="22"/>
    <col collapsed="false" customWidth="true" hidden="false" outlineLevel="0" max="13" min="13" style="0" width="10"/>
    <col collapsed="false" customWidth="true" hidden="false" outlineLevel="0" max="14" min="14" style="0" width="22"/>
    <col collapsed="false" customWidth="true" hidden="false" outlineLevel="0" max="15" min="15" style="0" width="10"/>
    <col collapsed="false" customWidth="true" hidden="false" outlineLevel="0" max="16" min="16" style="0" width="22"/>
    <col collapsed="false" customWidth="true" hidden="false" outlineLevel="0" max="17" min="17" style="0" width="10"/>
    <col collapsed="false" customWidth="true" hidden="false" outlineLevel="0" max="18" min="18" style="0" width="22"/>
    <col collapsed="false" customWidth="true" hidden="false" outlineLevel="0" max="19" min="19" style="0" width="8"/>
    <col collapsed="false" customWidth="true" hidden="false" outlineLevel="0" max="20" min="20" style="0" width="11"/>
    <col collapsed="false" customWidth="true" hidden="false" outlineLevel="0" max="21" min="21" style="0" width="16"/>
    <col collapsed="false" customWidth="true" hidden="false" outlineLevel="0" max="22" min="22" style="0" width="13"/>
    <col collapsed="false" customWidth="true" hidden="false" outlineLevel="0" max="23" min="23" style="0" width="3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9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/>
      <c r="I4" s="3" t="s">
        <v>9</v>
      </c>
      <c r="J4" s="3"/>
      <c r="K4" s="3" t="s">
        <v>10</v>
      </c>
      <c r="L4" s="3"/>
      <c r="M4" s="3" t="s">
        <v>11</v>
      </c>
      <c r="N4" s="3"/>
      <c r="O4" s="3" t="s">
        <v>12</v>
      </c>
      <c r="P4" s="3"/>
      <c r="Q4" s="3" t="s">
        <v>13</v>
      </c>
      <c r="R4" s="3"/>
      <c r="S4" s="3" t="s">
        <v>14</v>
      </c>
      <c r="T4" s="3" t="s">
        <v>15</v>
      </c>
      <c r="U4" s="3" t="s">
        <v>16</v>
      </c>
      <c r="V4" s="3" t="s">
        <v>17</v>
      </c>
      <c r="W4" s="3" t="s">
        <v>18</v>
      </c>
    </row>
    <row r="5" customFormat="false" ht="30" hidden="false" customHeight="true" outlineLevel="0" collapsed="false">
      <c r="A5" s="3"/>
      <c r="B5" s="3"/>
      <c r="C5" s="3"/>
      <c r="D5" s="3"/>
      <c r="E5" s="3"/>
      <c r="F5" s="3"/>
      <c r="G5" s="4" t="s">
        <v>19</v>
      </c>
      <c r="H5" s="4" t="s">
        <v>20</v>
      </c>
      <c r="I5" s="4" t="s">
        <v>19</v>
      </c>
      <c r="J5" s="4" t="s">
        <v>20</v>
      </c>
      <c r="K5" s="4" t="s">
        <v>19</v>
      </c>
      <c r="L5" s="4" t="s">
        <v>20</v>
      </c>
      <c r="M5" s="4" t="s">
        <v>19</v>
      </c>
      <c r="N5" s="4" t="s">
        <v>20</v>
      </c>
      <c r="O5" s="4" t="s">
        <v>19</v>
      </c>
      <c r="P5" s="4" t="s">
        <v>20</v>
      </c>
      <c r="Q5" s="4" t="s">
        <v>19</v>
      </c>
      <c r="R5" s="4" t="s">
        <v>20</v>
      </c>
      <c r="S5" s="3"/>
      <c r="T5" s="3"/>
      <c r="U5" s="3"/>
      <c r="V5" s="3"/>
      <c r="W5" s="3"/>
    </row>
    <row r="6" customFormat="false" ht="35.05" hidden="false" customHeight="false" outlineLevel="0" collapsed="false">
      <c r="A6" s="5" t="n">
        <v>1</v>
      </c>
      <c r="B6" s="6" t="s">
        <v>21</v>
      </c>
      <c r="C6" s="6" t="s">
        <v>22</v>
      </c>
      <c r="D6" s="6" t="s">
        <v>23</v>
      </c>
      <c r="E6" s="5" t="s">
        <v>24</v>
      </c>
      <c r="F6" s="5" t="n">
        <v>200</v>
      </c>
      <c r="G6" s="7"/>
      <c r="H6" s="6"/>
      <c r="I6" s="7"/>
      <c r="J6" s="6"/>
      <c r="K6" s="7"/>
      <c r="L6" s="6"/>
      <c r="M6" s="7" t="n">
        <v>5525</v>
      </c>
      <c r="N6" s="6" t="s">
        <v>25</v>
      </c>
      <c r="O6" s="7"/>
      <c r="P6" s="6"/>
      <c r="Q6" s="7"/>
      <c r="R6" s="6"/>
      <c r="S6" s="5" t="n">
        <f aca="false">COUNT(G6,I6,K6,M6,O6,Q6)</f>
        <v>1</v>
      </c>
      <c r="T6" s="8" t="n">
        <f aca="false">IF(S6=0,"",MIN(G6,I6,K6,M6,O6,Q6))</f>
        <v>5525</v>
      </c>
      <c r="U6" s="9" t="str">
        <f aca="false">IF(S6=0,"No quote",LEFT(IF(AND(ISNUMBER(G6),G6=T6),"Ahsan, ","")&amp;IF(AND(ISNUMBER(I6),I6=T6),"Aslam, ","")&amp;IF(AND(ISNUMBER(K6),K6=T6),"Jamil, ","")&amp;IF(AND(ISNUMBER(M6),M6=T6),"Muller, ","")&amp;IF(AND(ISNUMBER(O6),O6=T6),"NMMC, ","")&amp;IF(AND(ISNUMBER(Q6),Q6=T6),"Platinum, ",""),LEN(IF(AND(ISNUMBER(G6),G6=T6),"Ahsan, ","")&amp;IF(AND(ISNUMBER(I6),I6=T6),"Aslam, ","")&amp;IF(AND(ISNUMBER(K6),K6=T6),"Jamil, ","")&amp;IF(AND(ISNUMBER(M6),M6=T6),"Muller, ","")&amp;IF(AND(ISNUMBER(O6),O6=T6),"NMMC, ","")&amp;IF(AND(ISNUMBER(Q6),Q6=T6),"Platinum, ",""))-2))</f>
        <v>Muller</v>
      </c>
      <c r="V6" s="10" t="n">
        <f aca="false">IF(S6=0,"",T6*F6)</f>
        <v>1105000</v>
      </c>
      <c r="W6" s="6"/>
    </row>
    <row r="7" customFormat="false" ht="23.85" hidden="false" customHeight="false" outlineLevel="0" collapsed="false">
      <c r="A7" s="5" t="n">
        <v>2</v>
      </c>
      <c r="B7" s="6" t="s">
        <v>26</v>
      </c>
      <c r="C7" s="6" t="s">
        <v>27</v>
      </c>
      <c r="D7" s="6" t="s">
        <v>28</v>
      </c>
      <c r="E7" s="5" t="s">
        <v>24</v>
      </c>
      <c r="F7" s="5" t="n">
        <v>200</v>
      </c>
      <c r="G7" s="7"/>
      <c r="H7" s="6"/>
      <c r="I7" s="7"/>
      <c r="J7" s="6"/>
      <c r="K7" s="7"/>
      <c r="L7" s="6"/>
      <c r="M7" s="7" t="n">
        <v>4207.5</v>
      </c>
      <c r="N7" s="6" t="s">
        <v>25</v>
      </c>
      <c r="O7" s="7"/>
      <c r="P7" s="6"/>
      <c r="Q7" s="7"/>
      <c r="R7" s="6"/>
      <c r="S7" s="5" t="n">
        <f aca="false">COUNT(G7,I7,K7,M7,O7,Q7)</f>
        <v>1</v>
      </c>
      <c r="T7" s="8" t="n">
        <f aca="false">IF(S7=0,"",MIN(G7,I7,K7,M7,O7,Q7))</f>
        <v>4207.5</v>
      </c>
      <c r="U7" s="9" t="str">
        <f aca="false">IF(S7=0,"No quote",LEFT(IF(AND(ISNUMBER(G7),G7=T7),"Ahsan, ","")&amp;IF(AND(ISNUMBER(I7),I7=T7),"Aslam, ","")&amp;IF(AND(ISNUMBER(K7),K7=T7),"Jamil, ","")&amp;IF(AND(ISNUMBER(M7),M7=T7),"Muller, ","")&amp;IF(AND(ISNUMBER(O7),O7=T7),"NMMC, ","")&amp;IF(AND(ISNUMBER(Q7),Q7=T7),"Platinum, ",""),LEN(IF(AND(ISNUMBER(G7),G7=T7),"Ahsan, ","")&amp;IF(AND(ISNUMBER(I7),I7=T7),"Aslam, ","")&amp;IF(AND(ISNUMBER(K7),K7=T7),"Jamil, ","")&amp;IF(AND(ISNUMBER(M7),M7=T7),"Muller, ","")&amp;IF(AND(ISNUMBER(O7),O7=T7),"NMMC, ","")&amp;IF(AND(ISNUMBER(Q7),Q7=T7),"Platinum, ",""))-2))</f>
        <v>Muller</v>
      </c>
      <c r="V7" s="10" t="n">
        <f aca="false">IF(S7=0,"",T7*F7)</f>
        <v>841500</v>
      </c>
      <c r="W7" s="6"/>
    </row>
    <row r="8" customFormat="false" ht="23.85" hidden="false" customHeight="false" outlineLevel="0" collapsed="false">
      <c r="A8" s="5" t="n">
        <v>3</v>
      </c>
      <c r="B8" s="6" t="s">
        <v>29</v>
      </c>
      <c r="C8" s="6" t="s">
        <v>30</v>
      </c>
      <c r="D8" s="6" t="s">
        <v>31</v>
      </c>
      <c r="E8" s="5" t="s">
        <v>24</v>
      </c>
      <c r="F8" s="5" t="n">
        <v>100</v>
      </c>
      <c r="G8" s="7"/>
      <c r="H8" s="6"/>
      <c r="I8" s="7"/>
      <c r="J8" s="6"/>
      <c r="K8" s="7"/>
      <c r="L8" s="6"/>
      <c r="M8" s="7" t="n">
        <v>3357.5</v>
      </c>
      <c r="N8" s="6" t="s">
        <v>25</v>
      </c>
      <c r="O8" s="7"/>
      <c r="P8" s="6"/>
      <c r="Q8" s="7"/>
      <c r="R8" s="6"/>
      <c r="S8" s="5" t="n">
        <f aca="false">COUNT(G8,I8,K8,M8,O8,Q8)</f>
        <v>1</v>
      </c>
      <c r="T8" s="8" t="n">
        <f aca="false">IF(S8=0,"",MIN(G8,I8,K8,M8,O8,Q8))</f>
        <v>3357.5</v>
      </c>
      <c r="U8" s="9" t="str">
        <f aca="false">IF(S8=0,"No quote",LEFT(IF(AND(ISNUMBER(G8),G8=T8),"Ahsan, ","")&amp;IF(AND(ISNUMBER(I8),I8=T8),"Aslam, ","")&amp;IF(AND(ISNUMBER(K8),K8=T8),"Jamil, ","")&amp;IF(AND(ISNUMBER(M8),M8=T8),"Muller, ","")&amp;IF(AND(ISNUMBER(O8),O8=T8),"NMMC, ","")&amp;IF(AND(ISNUMBER(Q8),Q8=T8),"Platinum, ",""),LEN(IF(AND(ISNUMBER(G8),G8=T8),"Ahsan, ","")&amp;IF(AND(ISNUMBER(I8),I8=T8),"Aslam, ","")&amp;IF(AND(ISNUMBER(K8),K8=T8),"Jamil, ","")&amp;IF(AND(ISNUMBER(M8),M8=T8),"Muller, ","")&amp;IF(AND(ISNUMBER(O8),O8=T8),"NMMC, ","")&amp;IF(AND(ISNUMBER(Q8),Q8=T8),"Platinum, ",""))-2))</f>
        <v>Muller</v>
      </c>
      <c r="V8" s="10" t="n">
        <f aca="false">IF(S8=0,"",T8*F8)</f>
        <v>335750</v>
      </c>
      <c r="W8" s="6"/>
    </row>
    <row r="9" customFormat="false" ht="23.85" hidden="false" customHeight="false" outlineLevel="0" collapsed="false">
      <c r="A9" s="5" t="n">
        <v>4</v>
      </c>
      <c r="B9" s="6" t="s">
        <v>32</v>
      </c>
      <c r="C9" s="6" t="s">
        <v>33</v>
      </c>
      <c r="D9" s="6" t="s">
        <v>28</v>
      </c>
      <c r="E9" s="5" t="s">
        <v>24</v>
      </c>
      <c r="F9" s="5" t="n">
        <v>100</v>
      </c>
      <c r="G9" s="7"/>
      <c r="H9" s="6"/>
      <c r="I9" s="7"/>
      <c r="J9" s="6"/>
      <c r="K9" s="7"/>
      <c r="L9" s="6"/>
      <c r="M9" s="7" t="n">
        <v>2507.5</v>
      </c>
      <c r="N9" s="6" t="s">
        <v>25</v>
      </c>
      <c r="O9" s="7"/>
      <c r="P9" s="6"/>
      <c r="Q9" s="7"/>
      <c r="R9" s="6"/>
      <c r="S9" s="5" t="n">
        <f aca="false">COUNT(G9,I9,K9,M9,O9,Q9)</f>
        <v>1</v>
      </c>
      <c r="T9" s="8" t="n">
        <f aca="false">IF(S9=0,"",MIN(G9,I9,K9,M9,O9,Q9))</f>
        <v>2507.5</v>
      </c>
      <c r="U9" s="9" t="str">
        <f aca="false">IF(S9=0,"No quote",LEFT(IF(AND(ISNUMBER(G9),G9=T9),"Ahsan, ","")&amp;IF(AND(ISNUMBER(I9),I9=T9),"Aslam, ","")&amp;IF(AND(ISNUMBER(K9),K9=T9),"Jamil, ","")&amp;IF(AND(ISNUMBER(M9),M9=T9),"Muller, ","")&amp;IF(AND(ISNUMBER(O9),O9=T9),"NMMC, ","")&amp;IF(AND(ISNUMBER(Q9),Q9=T9),"Platinum, ",""),LEN(IF(AND(ISNUMBER(G9),G9=T9),"Ahsan, ","")&amp;IF(AND(ISNUMBER(I9),I9=T9),"Aslam, ","")&amp;IF(AND(ISNUMBER(K9),K9=T9),"Jamil, ","")&amp;IF(AND(ISNUMBER(M9),M9=T9),"Muller, ","")&amp;IF(AND(ISNUMBER(O9),O9=T9),"NMMC, ","")&amp;IF(AND(ISNUMBER(Q9),Q9=T9),"Platinum, ",""))-2))</f>
        <v>Muller</v>
      </c>
      <c r="V9" s="10" t="n">
        <f aca="false">IF(S9=0,"",T9*F9)</f>
        <v>250750</v>
      </c>
      <c r="W9" s="6"/>
    </row>
    <row r="10" customFormat="false" ht="46.25" hidden="false" customHeight="false" outlineLevel="0" collapsed="false">
      <c r="A10" s="5" t="n">
        <v>5</v>
      </c>
      <c r="B10" s="6" t="s">
        <v>34</v>
      </c>
      <c r="C10" s="6" t="s">
        <v>35</v>
      </c>
      <c r="D10" s="6" t="s">
        <v>36</v>
      </c>
      <c r="E10" s="5" t="s">
        <v>37</v>
      </c>
      <c r="F10" s="5" t="n">
        <v>100</v>
      </c>
      <c r="G10" s="7" t="n">
        <v>368.9</v>
      </c>
      <c r="H10" s="6" t="s">
        <v>38</v>
      </c>
      <c r="I10" s="7" t="n">
        <v>348.5</v>
      </c>
      <c r="J10" s="6" t="s">
        <v>39</v>
      </c>
      <c r="K10" s="7" t="n">
        <v>371.28</v>
      </c>
      <c r="L10" s="6" t="s">
        <v>40</v>
      </c>
      <c r="M10" s="7" t="n">
        <v>403.55</v>
      </c>
      <c r="N10" s="6" t="s">
        <v>41</v>
      </c>
      <c r="O10" s="7" t="n">
        <v>326.4</v>
      </c>
      <c r="P10" s="6" t="s">
        <v>42</v>
      </c>
      <c r="Q10" s="7"/>
      <c r="R10" s="6"/>
      <c r="S10" s="5" t="n">
        <f aca="false">COUNT(G10,I10,K10,M10,O10,Q10)</f>
        <v>5</v>
      </c>
      <c r="T10" s="8" t="n">
        <f aca="false">IF(S10=0,"",MIN(G10,I10,K10,M10,O10,Q10))</f>
        <v>326.4</v>
      </c>
      <c r="U10" s="9" t="str">
        <f aca="false">IF(S10=0,"No quote",LEFT(IF(AND(ISNUMBER(G10),G10=T10),"Ahsan, ","")&amp;IF(AND(ISNUMBER(I10),I10=T10),"Aslam, ","")&amp;IF(AND(ISNUMBER(K10),K10=T10),"Jamil, ","")&amp;IF(AND(ISNUMBER(M10),M10=T10),"Muller, ","")&amp;IF(AND(ISNUMBER(O10),O10=T10),"NMMC, ","")&amp;IF(AND(ISNUMBER(Q10),Q10=T10),"Platinum, ",""),LEN(IF(AND(ISNUMBER(G10),G10=T10),"Ahsan, ","")&amp;IF(AND(ISNUMBER(I10),I10=T10),"Aslam, ","")&amp;IF(AND(ISNUMBER(K10),K10=T10),"Jamil, ","")&amp;IF(AND(ISNUMBER(M10),M10=T10),"Muller, ","")&amp;IF(AND(ISNUMBER(O10),O10=T10),"NMMC, ","")&amp;IF(AND(ISNUMBER(Q10),Q10=T10),"Platinum, ",""))-2))</f>
        <v>NMMC</v>
      </c>
      <c r="V10" s="10" t="n">
        <f aca="false">IF(S10=0,"",T10*F10)</f>
        <v>32640</v>
      </c>
      <c r="W10" s="6"/>
    </row>
    <row r="11" customFormat="false" ht="46.25" hidden="false" customHeight="false" outlineLevel="0" collapsed="false">
      <c r="A11" s="5" t="n">
        <v>6</v>
      </c>
      <c r="B11" s="6" t="s">
        <v>43</v>
      </c>
      <c r="C11" s="6" t="s">
        <v>44</v>
      </c>
      <c r="D11" s="6" t="s">
        <v>45</v>
      </c>
      <c r="E11" s="5" t="s">
        <v>24</v>
      </c>
      <c r="F11" s="5" t="n">
        <v>100</v>
      </c>
      <c r="G11" s="7"/>
      <c r="H11" s="6"/>
      <c r="I11" s="7" t="n">
        <v>786.25</v>
      </c>
      <c r="J11" s="6" t="s">
        <v>46</v>
      </c>
      <c r="K11" s="7"/>
      <c r="L11" s="6"/>
      <c r="M11" s="7" t="n">
        <v>212.5</v>
      </c>
      <c r="N11" s="6" t="s">
        <v>47</v>
      </c>
      <c r="O11" s="7"/>
      <c r="P11" s="6"/>
      <c r="Q11" s="7"/>
      <c r="R11" s="6"/>
      <c r="S11" s="5" t="n">
        <f aca="false">COUNT(G11,I11,K11,M11,O11,Q11)</f>
        <v>2</v>
      </c>
      <c r="T11" s="8" t="n">
        <f aca="false">IF(S11=0,"",MIN(G11,I11,K11,M11,O11,Q11))</f>
        <v>212.5</v>
      </c>
      <c r="U11" s="9" t="str">
        <f aca="false">IF(S11=0,"No quote",LEFT(IF(AND(ISNUMBER(G11),G11=T11),"Ahsan, ","")&amp;IF(AND(ISNUMBER(I11),I11=T11),"Aslam, ","")&amp;IF(AND(ISNUMBER(K11),K11=T11),"Jamil, ","")&amp;IF(AND(ISNUMBER(M11),M11=T11),"Muller, ","")&amp;IF(AND(ISNUMBER(O11),O11=T11),"NMMC, ","")&amp;IF(AND(ISNUMBER(Q11),Q11=T11),"Platinum, ",""),LEN(IF(AND(ISNUMBER(G11),G11=T11),"Ahsan, ","")&amp;IF(AND(ISNUMBER(I11),I11=T11),"Aslam, ","")&amp;IF(AND(ISNUMBER(K11),K11=T11),"Jamil, ","")&amp;IF(AND(ISNUMBER(M11),M11=T11),"Muller, ","")&amp;IF(AND(ISNUMBER(O11),O11=T11),"NMMC, ","")&amp;IF(AND(ISNUMBER(Q11),Q11=T11),"Platinum, ",""))-2))</f>
        <v>Muller</v>
      </c>
      <c r="V11" s="10" t="n">
        <f aca="false">IF(S11=0,"",T11*F11)</f>
        <v>21250</v>
      </c>
      <c r="W11" s="6" t="s">
        <v>48</v>
      </c>
    </row>
    <row r="12" customFormat="false" ht="15" hidden="false" customHeight="false" outlineLevel="0" collapsed="false">
      <c r="A12" s="5" t="n">
        <v>7</v>
      </c>
      <c r="B12" s="6" t="s">
        <v>49</v>
      </c>
      <c r="C12" s="6" t="s">
        <v>50</v>
      </c>
      <c r="D12" s="6" t="s">
        <v>51</v>
      </c>
      <c r="E12" s="5" t="s">
        <v>37</v>
      </c>
      <c r="F12" s="5" t="n">
        <v>30</v>
      </c>
      <c r="G12" s="7"/>
      <c r="H12" s="6"/>
      <c r="I12" s="7"/>
      <c r="J12" s="6"/>
      <c r="K12" s="7"/>
      <c r="L12" s="6"/>
      <c r="M12" s="7"/>
      <c r="N12" s="6"/>
      <c r="O12" s="7" t="n">
        <v>345.02</v>
      </c>
      <c r="P12" s="6" t="s">
        <v>52</v>
      </c>
      <c r="Q12" s="7"/>
      <c r="R12" s="6"/>
      <c r="S12" s="5" t="n">
        <f aca="false">COUNT(G12,I12,K12,M12,O12,Q12)</f>
        <v>1</v>
      </c>
      <c r="T12" s="8" t="n">
        <f aca="false">IF(S12=0,"",MIN(G12,I12,K12,M12,O12,Q12))</f>
        <v>345.02</v>
      </c>
      <c r="U12" s="9" t="str">
        <f aca="false">IF(S12=0,"No quote",LEFT(IF(AND(ISNUMBER(G12),G12=T12),"Ahsan, ","")&amp;IF(AND(ISNUMBER(I12),I12=T12),"Aslam, ","")&amp;IF(AND(ISNUMBER(K12),K12=T12),"Jamil, ","")&amp;IF(AND(ISNUMBER(M12),M12=T12),"Muller, ","")&amp;IF(AND(ISNUMBER(O12),O12=T12),"NMMC, ","")&amp;IF(AND(ISNUMBER(Q12),Q12=T12),"Platinum, ",""),LEN(IF(AND(ISNUMBER(G12),G12=T12),"Ahsan, ","")&amp;IF(AND(ISNUMBER(I12),I12=T12),"Aslam, ","")&amp;IF(AND(ISNUMBER(K12),K12=T12),"Jamil, ","")&amp;IF(AND(ISNUMBER(M12),M12=T12),"Muller, ","")&amp;IF(AND(ISNUMBER(O12),O12=T12),"NMMC, ","")&amp;IF(AND(ISNUMBER(Q12),Q12=T12),"Platinum, ",""))-2))</f>
        <v>NMMC</v>
      </c>
      <c r="V12" s="10" t="n">
        <f aca="false">IF(S12=0,"",T12*F12)</f>
        <v>10350.6</v>
      </c>
      <c r="W12" s="6"/>
    </row>
    <row r="13" customFormat="false" ht="35.05" hidden="false" customHeight="false" outlineLevel="0" collapsed="false">
      <c r="A13" s="5" t="n">
        <v>8</v>
      </c>
      <c r="B13" s="6" t="s">
        <v>53</v>
      </c>
      <c r="C13" s="6" t="s">
        <v>54</v>
      </c>
      <c r="D13" s="6" t="s">
        <v>55</v>
      </c>
      <c r="E13" s="5" t="s">
        <v>24</v>
      </c>
      <c r="F13" s="5" t="n">
        <v>100</v>
      </c>
      <c r="G13" s="7" t="n">
        <v>80.7</v>
      </c>
      <c r="H13" s="6" t="s">
        <v>56</v>
      </c>
      <c r="I13" s="7" t="n">
        <v>115.38</v>
      </c>
      <c r="J13" s="6" t="s">
        <v>57</v>
      </c>
      <c r="K13" s="7" t="n">
        <v>101.48</v>
      </c>
      <c r="L13" s="6" t="s">
        <v>58</v>
      </c>
      <c r="M13" s="7"/>
      <c r="N13" s="6"/>
      <c r="O13" s="7" t="n">
        <v>124.45</v>
      </c>
      <c r="P13" s="6" t="s">
        <v>59</v>
      </c>
      <c r="Q13" s="7"/>
      <c r="R13" s="6"/>
      <c r="S13" s="5" t="n">
        <f aca="false">COUNT(G13,I13,K13,M13,O13,Q13)</f>
        <v>4</v>
      </c>
      <c r="T13" s="8" t="n">
        <f aca="false">IF(S13=0,"",MIN(G13,I13,K13,M13,O13,Q13))</f>
        <v>80.7</v>
      </c>
      <c r="U13" s="9" t="str">
        <f aca="false">IF(S13=0,"No quote",LEFT(IF(AND(ISNUMBER(G13),G13=T13),"Ahsan, ","")&amp;IF(AND(ISNUMBER(I13),I13=T13),"Aslam, ","")&amp;IF(AND(ISNUMBER(K13),K13=T13),"Jamil, ","")&amp;IF(AND(ISNUMBER(M13),M13=T13),"Muller, ","")&amp;IF(AND(ISNUMBER(O13),O13=T13),"NMMC, ","")&amp;IF(AND(ISNUMBER(Q13),Q13=T13),"Platinum, ",""),LEN(IF(AND(ISNUMBER(G13),G13=T13),"Ahsan, ","")&amp;IF(AND(ISNUMBER(I13),I13=T13),"Aslam, ","")&amp;IF(AND(ISNUMBER(K13),K13=T13),"Jamil, ","")&amp;IF(AND(ISNUMBER(M13),M13=T13),"Muller, ","")&amp;IF(AND(ISNUMBER(O13),O13=T13),"NMMC, ","")&amp;IF(AND(ISNUMBER(Q13),Q13=T13),"Platinum, ",""))-2))</f>
        <v>Ahsan</v>
      </c>
      <c r="V13" s="10" t="n">
        <f aca="false">IF(S13=0,"",T13*F13)</f>
        <v>8070</v>
      </c>
      <c r="W13" s="6"/>
    </row>
    <row r="14" customFormat="false" ht="15" hidden="false" customHeight="false" outlineLevel="0" collapsed="false">
      <c r="A14" s="5" t="n">
        <v>9</v>
      </c>
      <c r="B14" s="6" t="s">
        <v>60</v>
      </c>
      <c r="C14" s="6" t="s">
        <v>61</v>
      </c>
      <c r="D14" s="6" t="s">
        <v>62</v>
      </c>
      <c r="E14" s="5" t="s">
        <v>24</v>
      </c>
      <c r="F14" s="5" t="n">
        <v>100</v>
      </c>
      <c r="G14" s="7"/>
      <c r="H14" s="6"/>
      <c r="I14" s="7"/>
      <c r="J14" s="6"/>
      <c r="K14" s="7"/>
      <c r="L14" s="6"/>
      <c r="M14" s="7"/>
      <c r="N14" s="6"/>
      <c r="O14" s="7"/>
      <c r="P14" s="6"/>
      <c r="Q14" s="7"/>
      <c r="R14" s="6"/>
      <c r="S14" s="5" t="n">
        <f aca="false">COUNT(G14,I14,K14,M14,O14,Q14)</f>
        <v>0</v>
      </c>
      <c r="T14" s="8" t="str">
        <f aca="false">IF(S14=0,"",MIN(G14,I14,K14,M14,O14,Q14))</f>
        <v/>
      </c>
      <c r="U14" s="9" t="str">
        <f aca="false">IF(S14=0,"No quote",LEFT(IF(AND(ISNUMBER(G14),G14=T14),"Ahsan, ","")&amp;IF(AND(ISNUMBER(I14),I14=T14),"Aslam, ","")&amp;IF(AND(ISNUMBER(K14),K14=T14),"Jamil, ","")&amp;IF(AND(ISNUMBER(M14),M14=T14),"Muller, ","")&amp;IF(AND(ISNUMBER(O14),O14=T14),"NMMC, ","")&amp;IF(AND(ISNUMBER(Q14),Q14=T14),"Platinum, ",""),LEN(IF(AND(ISNUMBER(G14),G14=T14),"Ahsan, ","")&amp;IF(AND(ISNUMBER(I14),I14=T14),"Aslam, ","")&amp;IF(AND(ISNUMBER(K14),K14=T14),"Jamil, ","")&amp;IF(AND(ISNUMBER(M14),M14=T14),"Muller, ","")&amp;IF(AND(ISNUMBER(O14),O14=T14),"NMMC, ","")&amp;IF(AND(ISNUMBER(Q14),Q14=T14),"Platinum, ",""))-2))</f>
        <v>No quote</v>
      </c>
      <c r="V14" s="10" t="str">
        <f aca="false">IF(S14=0,"",T14*F14)</f>
        <v/>
      </c>
      <c r="W14" s="6"/>
    </row>
    <row r="15" customFormat="false" ht="23.85" hidden="false" customHeight="false" outlineLevel="0" collapsed="false">
      <c r="A15" s="5" t="n">
        <v>10</v>
      </c>
      <c r="B15" s="6" t="s">
        <v>63</v>
      </c>
      <c r="C15" s="6" t="s">
        <v>64</v>
      </c>
      <c r="D15" s="6" t="s">
        <v>65</v>
      </c>
      <c r="E15" s="5" t="s">
        <v>24</v>
      </c>
      <c r="F15" s="5" t="n">
        <v>100</v>
      </c>
      <c r="G15" s="7"/>
      <c r="H15" s="6"/>
      <c r="I15" s="7"/>
      <c r="J15" s="6"/>
      <c r="K15" s="7" t="n">
        <v>301.55</v>
      </c>
      <c r="L15" s="6" t="s">
        <v>66</v>
      </c>
      <c r="M15" s="7"/>
      <c r="N15" s="6"/>
      <c r="O15" s="7"/>
      <c r="P15" s="6"/>
      <c r="Q15" s="7"/>
      <c r="R15" s="6"/>
      <c r="S15" s="5" t="n">
        <f aca="false">COUNT(G15,I15,K15,M15,O15,Q15)</f>
        <v>1</v>
      </c>
      <c r="T15" s="8" t="n">
        <f aca="false">IF(S15=0,"",MIN(G15,I15,K15,M15,O15,Q15))</f>
        <v>301.55</v>
      </c>
      <c r="U15" s="9" t="str">
        <f aca="false">IF(S15=0,"No quote",LEFT(IF(AND(ISNUMBER(G15),G15=T15),"Ahsan, ","")&amp;IF(AND(ISNUMBER(I15),I15=T15),"Aslam, ","")&amp;IF(AND(ISNUMBER(K15),K15=T15),"Jamil, ","")&amp;IF(AND(ISNUMBER(M15),M15=T15),"Muller, ","")&amp;IF(AND(ISNUMBER(O15),O15=T15),"NMMC, ","")&amp;IF(AND(ISNUMBER(Q15),Q15=T15),"Platinum, ",""),LEN(IF(AND(ISNUMBER(G15),G15=T15),"Ahsan, ","")&amp;IF(AND(ISNUMBER(I15),I15=T15),"Aslam, ","")&amp;IF(AND(ISNUMBER(K15),K15=T15),"Jamil, ","")&amp;IF(AND(ISNUMBER(M15),M15=T15),"Muller, ","")&amp;IF(AND(ISNUMBER(O15),O15=T15),"NMMC, ","")&amp;IF(AND(ISNUMBER(Q15),Q15=T15),"Platinum, ",""))-2))</f>
        <v>Jamil</v>
      </c>
      <c r="V15" s="10" t="n">
        <f aca="false">IF(S15=0,"",T15*F15)</f>
        <v>30155</v>
      </c>
      <c r="W15" s="6"/>
    </row>
    <row r="16" customFormat="false" ht="23.85" hidden="false" customHeight="false" outlineLevel="0" collapsed="false">
      <c r="A16" s="5" t="n">
        <v>11</v>
      </c>
      <c r="B16" s="6" t="s">
        <v>67</v>
      </c>
      <c r="C16" s="6" t="s">
        <v>68</v>
      </c>
      <c r="D16" s="6" t="s">
        <v>69</v>
      </c>
      <c r="E16" s="5" t="s">
        <v>24</v>
      </c>
      <c r="F16" s="5" t="n">
        <v>200</v>
      </c>
      <c r="G16" s="7" t="n">
        <v>195.5</v>
      </c>
      <c r="H16" s="6" t="s">
        <v>70</v>
      </c>
      <c r="I16" s="7" t="n">
        <v>212.5</v>
      </c>
      <c r="J16" s="6" t="s">
        <v>71</v>
      </c>
      <c r="K16" s="7"/>
      <c r="L16" s="6"/>
      <c r="M16" s="7"/>
      <c r="N16" s="6"/>
      <c r="O16" s="7" t="n">
        <v>135</v>
      </c>
      <c r="P16" s="6" t="s">
        <v>72</v>
      </c>
      <c r="Q16" s="7"/>
      <c r="R16" s="6"/>
      <c r="S16" s="5" t="n">
        <f aca="false">COUNT(G16,I16,K16,M16,O16,Q16)</f>
        <v>3</v>
      </c>
      <c r="T16" s="8" t="n">
        <f aca="false">IF(S16=0,"",MIN(G16,I16,K16,M16,O16,Q16))</f>
        <v>135</v>
      </c>
      <c r="U16" s="9" t="str">
        <f aca="false">IF(S16=0,"No quote",LEFT(IF(AND(ISNUMBER(G16),G16=T16),"Ahsan, ","")&amp;IF(AND(ISNUMBER(I16),I16=T16),"Aslam, ","")&amp;IF(AND(ISNUMBER(K16),K16=T16),"Jamil, ","")&amp;IF(AND(ISNUMBER(M16),M16=T16),"Muller, ","")&amp;IF(AND(ISNUMBER(O16),O16=T16),"NMMC, ","")&amp;IF(AND(ISNUMBER(Q16),Q16=T16),"Platinum, ",""),LEN(IF(AND(ISNUMBER(G16),G16=T16),"Ahsan, ","")&amp;IF(AND(ISNUMBER(I16),I16=T16),"Aslam, ","")&amp;IF(AND(ISNUMBER(K16),K16=T16),"Jamil, ","")&amp;IF(AND(ISNUMBER(M16),M16=T16),"Muller, ","")&amp;IF(AND(ISNUMBER(O16),O16=T16),"NMMC, ","")&amp;IF(AND(ISNUMBER(Q16),Q16=T16),"Platinum, ",""))-2))</f>
        <v>NMMC</v>
      </c>
      <c r="V16" s="10" t="n">
        <f aca="false">IF(S16=0,"",T16*F16)</f>
        <v>27000</v>
      </c>
      <c r="W16" s="6"/>
    </row>
    <row r="17" customFormat="false" ht="35.05" hidden="false" customHeight="false" outlineLevel="0" collapsed="false">
      <c r="A17" s="5" t="n">
        <v>12</v>
      </c>
      <c r="B17" s="6" t="s">
        <v>73</v>
      </c>
      <c r="C17" s="6" t="s">
        <v>74</v>
      </c>
      <c r="D17" s="6" t="s">
        <v>75</v>
      </c>
      <c r="E17" s="5" t="s">
        <v>24</v>
      </c>
      <c r="F17" s="5" t="n">
        <v>200</v>
      </c>
      <c r="G17" s="7"/>
      <c r="H17" s="6"/>
      <c r="I17" s="7"/>
      <c r="J17" s="6"/>
      <c r="K17" s="7" t="n">
        <v>272</v>
      </c>
      <c r="L17" s="6" t="s">
        <v>76</v>
      </c>
      <c r="M17" s="7"/>
      <c r="N17" s="6"/>
      <c r="O17" s="7" t="n">
        <v>279.898</v>
      </c>
      <c r="P17" s="6" t="s">
        <v>77</v>
      </c>
      <c r="Q17" s="7"/>
      <c r="R17" s="6"/>
      <c r="S17" s="5" t="n">
        <f aca="false">COUNT(G17,I17,K17,M17,O17,Q17)</f>
        <v>2</v>
      </c>
      <c r="T17" s="8" t="n">
        <f aca="false">IF(S17=0,"",MIN(G17,I17,K17,M17,O17,Q17))</f>
        <v>272</v>
      </c>
      <c r="U17" s="9" t="str">
        <f aca="false">IF(S17=0,"No quote",LEFT(IF(AND(ISNUMBER(G17),G17=T17),"Ahsan, ","")&amp;IF(AND(ISNUMBER(I17),I17=T17),"Aslam, ","")&amp;IF(AND(ISNUMBER(K17),K17=T17),"Jamil, ","")&amp;IF(AND(ISNUMBER(M17),M17=T17),"Muller, ","")&amp;IF(AND(ISNUMBER(O17),O17=T17),"NMMC, ","")&amp;IF(AND(ISNUMBER(Q17),Q17=T17),"Platinum, ",""),LEN(IF(AND(ISNUMBER(G17),G17=T17),"Ahsan, ","")&amp;IF(AND(ISNUMBER(I17),I17=T17),"Aslam, ","")&amp;IF(AND(ISNUMBER(K17),K17=T17),"Jamil, ","")&amp;IF(AND(ISNUMBER(M17),M17=T17),"Muller, ","")&amp;IF(AND(ISNUMBER(O17),O17=T17),"NMMC, ","")&amp;IF(AND(ISNUMBER(Q17),Q17=T17),"Platinum, ",""))-2))</f>
        <v>Jamil</v>
      </c>
      <c r="V17" s="10" t="n">
        <f aca="false">IF(S17=0,"",T17*F17)</f>
        <v>54400</v>
      </c>
      <c r="W17" s="6"/>
    </row>
    <row r="18" customFormat="false" ht="35.05" hidden="false" customHeight="false" outlineLevel="0" collapsed="false">
      <c r="A18" s="5" t="n">
        <v>13</v>
      </c>
      <c r="B18" s="6" t="s">
        <v>78</v>
      </c>
      <c r="C18" s="6" t="s">
        <v>79</v>
      </c>
      <c r="D18" s="6" t="s">
        <v>80</v>
      </c>
      <c r="E18" s="5" t="s">
        <v>24</v>
      </c>
      <c r="F18" s="5" t="n">
        <v>200</v>
      </c>
      <c r="G18" s="7"/>
      <c r="H18" s="6"/>
      <c r="I18" s="7" t="n">
        <v>175.95</v>
      </c>
      <c r="J18" s="6" t="s">
        <v>81</v>
      </c>
      <c r="K18" s="7"/>
      <c r="L18" s="6"/>
      <c r="M18" s="7"/>
      <c r="N18" s="6"/>
      <c r="O18" s="7"/>
      <c r="P18" s="6"/>
      <c r="Q18" s="7"/>
      <c r="R18" s="6"/>
      <c r="S18" s="5" t="n">
        <f aca="false">COUNT(G18,I18,K18,M18,O18,Q18)</f>
        <v>1</v>
      </c>
      <c r="T18" s="8" t="n">
        <f aca="false">IF(S18=0,"",MIN(G18,I18,K18,M18,O18,Q18))</f>
        <v>175.95</v>
      </c>
      <c r="U18" s="9" t="str">
        <f aca="false">IF(S18=0,"No quote",LEFT(IF(AND(ISNUMBER(G18),G18=T18),"Ahsan, ","")&amp;IF(AND(ISNUMBER(I18),I18=T18),"Aslam, ","")&amp;IF(AND(ISNUMBER(K18),K18=T18),"Jamil, ","")&amp;IF(AND(ISNUMBER(M18),M18=T18),"Muller, ","")&amp;IF(AND(ISNUMBER(O18),O18=T18),"NMMC, ","")&amp;IF(AND(ISNUMBER(Q18),Q18=T18),"Platinum, ",""),LEN(IF(AND(ISNUMBER(G18),G18=T18),"Ahsan, ","")&amp;IF(AND(ISNUMBER(I18),I18=T18),"Aslam, ","")&amp;IF(AND(ISNUMBER(K18),K18=T18),"Jamil, ","")&amp;IF(AND(ISNUMBER(M18),M18=T18),"Muller, ","")&amp;IF(AND(ISNUMBER(O18),O18=T18),"NMMC, ","")&amp;IF(AND(ISNUMBER(Q18),Q18=T18),"Platinum, ",""))-2))</f>
        <v>Aslam</v>
      </c>
      <c r="V18" s="10" t="n">
        <f aca="false">IF(S18=0,"",T18*F18)</f>
        <v>35190</v>
      </c>
      <c r="W18" s="6"/>
    </row>
    <row r="19" customFormat="false" ht="23.85" hidden="false" customHeight="false" outlineLevel="0" collapsed="false">
      <c r="A19" s="5" t="n">
        <v>14</v>
      </c>
      <c r="B19" s="6" t="s">
        <v>82</v>
      </c>
      <c r="C19" s="6" t="s">
        <v>83</v>
      </c>
      <c r="D19" s="6" t="s">
        <v>84</v>
      </c>
      <c r="E19" s="5" t="s">
        <v>37</v>
      </c>
      <c r="F19" s="5" t="n">
        <v>50</v>
      </c>
      <c r="G19" s="7"/>
      <c r="H19" s="6"/>
      <c r="I19" s="7"/>
      <c r="J19" s="6"/>
      <c r="K19" s="7"/>
      <c r="L19" s="6"/>
      <c r="M19" s="7"/>
      <c r="N19" s="6"/>
      <c r="O19" s="7" t="n">
        <v>316.2</v>
      </c>
      <c r="P19" s="6" t="s">
        <v>85</v>
      </c>
      <c r="Q19" s="7"/>
      <c r="R19" s="6"/>
      <c r="S19" s="5" t="n">
        <f aca="false">COUNT(G19,I19,K19,M19,O19,Q19)</f>
        <v>1</v>
      </c>
      <c r="T19" s="8" t="n">
        <f aca="false">IF(S19=0,"",MIN(G19,I19,K19,M19,O19,Q19))</f>
        <v>316.2</v>
      </c>
      <c r="U19" s="9" t="str">
        <f aca="false">IF(S19=0,"No quote",LEFT(IF(AND(ISNUMBER(G19),G19=T19),"Ahsan, ","")&amp;IF(AND(ISNUMBER(I19),I19=T19),"Aslam, ","")&amp;IF(AND(ISNUMBER(K19),K19=T19),"Jamil, ","")&amp;IF(AND(ISNUMBER(M19),M19=T19),"Muller, ","")&amp;IF(AND(ISNUMBER(O19),O19=T19),"NMMC, ","")&amp;IF(AND(ISNUMBER(Q19),Q19=T19),"Platinum, ",""),LEN(IF(AND(ISNUMBER(G19),G19=T19),"Ahsan, ","")&amp;IF(AND(ISNUMBER(I19),I19=T19),"Aslam, ","")&amp;IF(AND(ISNUMBER(K19),K19=T19),"Jamil, ","")&amp;IF(AND(ISNUMBER(M19),M19=T19),"Muller, ","")&amp;IF(AND(ISNUMBER(O19),O19=T19),"NMMC, ","")&amp;IF(AND(ISNUMBER(Q19),Q19=T19),"Platinum, ",""))-2))</f>
        <v>NMMC</v>
      </c>
      <c r="V19" s="10" t="n">
        <f aca="false">IF(S19=0,"",T19*F19)</f>
        <v>15810</v>
      </c>
      <c r="W19" s="6"/>
    </row>
    <row r="20" customFormat="false" ht="35.05" hidden="false" customHeight="false" outlineLevel="0" collapsed="false">
      <c r="A20" s="5" t="n">
        <v>15</v>
      </c>
      <c r="B20" s="6" t="s">
        <v>86</v>
      </c>
      <c r="C20" s="6" t="s">
        <v>87</v>
      </c>
      <c r="D20" s="6" t="s">
        <v>88</v>
      </c>
      <c r="E20" s="5" t="s">
        <v>37</v>
      </c>
      <c r="F20" s="5" t="n">
        <v>300</v>
      </c>
      <c r="G20" s="7" t="n">
        <v>620.5</v>
      </c>
      <c r="H20" s="6" t="s">
        <v>89</v>
      </c>
      <c r="I20" s="7"/>
      <c r="J20" s="6"/>
      <c r="K20" s="7"/>
      <c r="L20" s="6"/>
      <c r="M20" s="7" t="n">
        <v>403.75</v>
      </c>
      <c r="N20" s="6" t="s">
        <v>90</v>
      </c>
      <c r="O20" s="7" t="n">
        <v>355.536</v>
      </c>
      <c r="P20" s="6" t="s">
        <v>91</v>
      </c>
      <c r="Q20" s="7"/>
      <c r="R20" s="6"/>
      <c r="S20" s="5" t="n">
        <f aca="false">COUNT(G20,I20,K20,M20,O20,Q20)</f>
        <v>3</v>
      </c>
      <c r="T20" s="8" t="n">
        <f aca="false">IF(S20=0,"",MIN(G20,I20,K20,M20,O20,Q20))</f>
        <v>355.536</v>
      </c>
      <c r="U20" s="9" t="str">
        <f aca="false">IF(S20=0,"No quote",LEFT(IF(AND(ISNUMBER(G20),G20=T20),"Ahsan, ","")&amp;IF(AND(ISNUMBER(I20),I20=T20),"Aslam, ","")&amp;IF(AND(ISNUMBER(K20),K20=T20),"Jamil, ","")&amp;IF(AND(ISNUMBER(M20),M20=T20),"Muller, ","")&amp;IF(AND(ISNUMBER(O20),O20=T20),"NMMC, ","")&amp;IF(AND(ISNUMBER(Q20),Q20=T20),"Platinum, ",""),LEN(IF(AND(ISNUMBER(G20),G20=T20),"Ahsan, ","")&amp;IF(AND(ISNUMBER(I20),I20=T20),"Aslam, ","")&amp;IF(AND(ISNUMBER(K20),K20=T20),"Jamil, ","")&amp;IF(AND(ISNUMBER(M20),M20=T20),"Muller, ","")&amp;IF(AND(ISNUMBER(O20),O20=T20),"NMMC, ","")&amp;IF(AND(ISNUMBER(Q20),Q20=T20),"Platinum, ",""))-2))</f>
        <v>NMMC</v>
      </c>
      <c r="V20" s="10" t="n">
        <f aca="false">IF(S20=0,"",T20*F20)</f>
        <v>106660.8</v>
      </c>
      <c r="W20" s="6"/>
    </row>
    <row r="21" customFormat="false" ht="46.25" hidden="false" customHeight="false" outlineLevel="0" collapsed="false">
      <c r="A21" s="5" t="n">
        <v>16</v>
      </c>
      <c r="B21" s="6" t="s">
        <v>92</v>
      </c>
      <c r="C21" s="6" t="s">
        <v>93</v>
      </c>
      <c r="D21" s="6" t="s">
        <v>94</v>
      </c>
      <c r="E21" s="5" t="s">
        <v>24</v>
      </c>
      <c r="F21" s="5" t="n">
        <v>1000</v>
      </c>
      <c r="G21" s="7" t="n">
        <v>425.85</v>
      </c>
      <c r="H21" s="6" t="s">
        <v>95</v>
      </c>
      <c r="I21" s="7"/>
      <c r="J21" s="6"/>
      <c r="K21" s="7"/>
      <c r="L21" s="6"/>
      <c r="M21" s="7" t="n">
        <v>306</v>
      </c>
      <c r="N21" s="6" t="s">
        <v>90</v>
      </c>
      <c r="O21" s="7" t="n">
        <v>287.81</v>
      </c>
      <c r="P21" s="6" t="s">
        <v>96</v>
      </c>
      <c r="Q21" s="7"/>
      <c r="R21" s="6"/>
      <c r="S21" s="5" t="n">
        <f aca="false">COUNT(G21,I21,K21,M21,O21,Q21)</f>
        <v>3</v>
      </c>
      <c r="T21" s="8" t="n">
        <f aca="false">IF(S21=0,"",MIN(G21,I21,K21,M21,O21,Q21))</f>
        <v>287.81</v>
      </c>
      <c r="U21" s="9" t="str">
        <f aca="false">IF(S21=0,"No quote",LEFT(IF(AND(ISNUMBER(G21),G21=T21),"Ahsan, ","")&amp;IF(AND(ISNUMBER(I21),I21=T21),"Aslam, ","")&amp;IF(AND(ISNUMBER(K21),K21=T21),"Jamil, ","")&amp;IF(AND(ISNUMBER(M21),M21=T21),"Muller, ","")&amp;IF(AND(ISNUMBER(O21),O21=T21),"NMMC, ","")&amp;IF(AND(ISNUMBER(Q21),Q21=T21),"Platinum, ",""),LEN(IF(AND(ISNUMBER(G21),G21=T21),"Ahsan, ","")&amp;IF(AND(ISNUMBER(I21),I21=T21),"Aslam, ","")&amp;IF(AND(ISNUMBER(K21),K21=T21),"Jamil, ","")&amp;IF(AND(ISNUMBER(M21),M21=T21),"Muller, ","")&amp;IF(AND(ISNUMBER(O21),O21=T21),"NMMC, ","")&amp;IF(AND(ISNUMBER(Q21),Q21=T21),"Platinum, ",""))-2))</f>
        <v>NMMC</v>
      </c>
      <c r="V21" s="10" t="n">
        <f aca="false">IF(S21=0,"",T21*F21)</f>
        <v>287810</v>
      </c>
      <c r="W21" s="6"/>
    </row>
    <row r="22" customFormat="false" ht="35.05" hidden="false" customHeight="false" outlineLevel="0" collapsed="false">
      <c r="A22" s="5" t="n">
        <v>17</v>
      </c>
      <c r="B22" s="6" t="s">
        <v>97</v>
      </c>
      <c r="C22" s="6" t="s">
        <v>98</v>
      </c>
      <c r="D22" s="6" t="s">
        <v>99</v>
      </c>
      <c r="E22" s="5" t="s">
        <v>24</v>
      </c>
      <c r="F22" s="5" t="n">
        <v>100</v>
      </c>
      <c r="G22" s="7" t="n">
        <v>127.5</v>
      </c>
      <c r="H22" s="6" t="s">
        <v>100</v>
      </c>
      <c r="I22" s="7"/>
      <c r="J22" s="6"/>
      <c r="K22" s="7"/>
      <c r="L22" s="6"/>
      <c r="M22" s="7" t="n">
        <v>212.5</v>
      </c>
      <c r="N22" s="6" t="s">
        <v>101</v>
      </c>
      <c r="O22" s="7" t="n">
        <v>115.6</v>
      </c>
      <c r="P22" s="6" t="s">
        <v>102</v>
      </c>
      <c r="Q22" s="7"/>
      <c r="R22" s="6"/>
      <c r="S22" s="5" t="n">
        <f aca="false">COUNT(G22,I22,K22,M22,O22,Q22)</f>
        <v>3</v>
      </c>
      <c r="T22" s="8" t="n">
        <f aca="false">IF(S22=0,"",MIN(G22,I22,K22,M22,O22,Q22))</f>
        <v>115.6</v>
      </c>
      <c r="U22" s="9" t="str">
        <f aca="false">IF(S22=0,"No quote",LEFT(IF(AND(ISNUMBER(G22),G22=T22),"Ahsan, ","")&amp;IF(AND(ISNUMBER(I22),I22=T22),"Aslam, ","")&amp;IF(AND(ISNUMBER(K22),K22=T22),"Jamil, ","")&amp;IF(AND(ISNUMBER(M22),M22=T22),"Muller, ","")&amp;IF(AND(ISNUMBER(O22),O22=T22),"NMMC, ","")&amp;IF(AND(ISNUMBER(Q22),Q22=T22),"Platinum, ",""),LEN(IF(AND(ISNUMBER(G22),G22=T22),"Ahsan, ","")&amp;IF(AND(ISNUMBER(I22),I22=T22),"Aslam, ","")&amp;IF(AND(ISNUMBER(K22),K22=T22),"Jamil, ","")&amp;IF(AND(ISNUMBER(M22),M22=T22),"Muller, ","")&amp;IF(AND(ISNUMBER(O22),O22=T22),"NMMC, ","")&amp;IF(AND(ISNUMBER(Q22),Q22=T22),"Platinum, ",""))-2))</f>
        <v>NMMC</v>
      </c>
      <c r="V22" s="10" t="n">
        <f aca="false">IF(S22=0,"",T22*F22)</f>
        <v>11560</v>
      </c>
      <c r="W22" s="6"/>
    </row>
    <row r="23" customFormat="false" ht="35.05" hidden="false" customHeight="false" outlineLevel="0" collapsed="false">
      <c r="A23" s="5" t="n">
        <v>18</v>
      </c>
      <c r="B23" s="6" t="s">
        <v>103</v>
      </c>
      <c r="C23" s="6" t="s">
        <v>104</v>
      </c>
      <c r="D23" s="6" t="s">
        <v>105</v>
      </c>
      <c r="E23" s="5" t="s">
        <v>24</v>
      </c>
      <c r="F23" s="5" t="n">
        <v>500</v>
      </c>
      <c r="G23" s="7" t="n">
        <v>255</v>
      </c>
      <c r="H23" s="6"/>
      <c r="I23" s="7"/>
      <c r="J23" s="6"/>
      <c r="K23" s="7"/>
      <c r="L23" s="6"/>
      <c r="M23" s="7" t="n">
        <v>348.5</v>
      </c>
      <c r="N23" s="6" t="s">
        <v>106</v>
      </c>
      <c r="O23" s="7" t="n">
        <v>164.543</v>
      </c>
      <c r="P23" s="6" t="s">
        <v>107</v>
      </c>
      <c r="Q23" s="7"/>
      <c r="R23" s="6"/>
      <c r="S23" s="5" t="n">
        <f aca="false">COUNT(G23,I23,K23,M23,O23,Q23)</f>
        <v>3</v>
      </c>
      <c r="T23" s="8" t="n">
        <f aca="false">IF(S23=0,"",MIN(G23,I23,K23,M23,O23,Q23))</f>
        <v>164.543</v>
      </c>
      <c r="U23" s="9" t="str">
        <f aca="false">IF(S23=0,"No quote",LEFT(IF(AND(ISNUMBER(G23),G23=T23),"Ahsan, ","")&amp;IF(AND(ISNUMBER(I23),I23=T23),"Aslam, ","")&amp;IF(AND(ISNUMBER(K23),K23=T23),"Jamil, ","")&amp;IF(AND(ISNUMBER(M23),M23=T23),"Muller, ","")&amp;IF(AND(ISNUMBER(O23),O23=T23),"NMMC, ","")&amp;IF(AND(ISNUMBER(Q23),Q23=T23),"Platinum, ",""),LEN(IF(AND(ISNUMBER(G23),G23=T23),"Ahsan, ","")&amp;IF(AND(ISNUMBER(I23),I23=T23),"Aslam, ","")&amp;IF(AND(ISNUMBER(K23),K23=T23),"Jamil, ","")&amp;IF(AND(ISNUMBER(M23),M23=T23),"Muller, ","")&amp;IF(AND(ISNUMBER(O23),O23=T23),"NMMC, ","")&amp;IF(AND(ISNUMBER(Q23),Q23=T23),"Platinum, ",""))-2))</f>
        <v>NMMC</v>
      </c>
      <c r="V23" s="10" t="n">
        <f aca="false">IF(S23=0,"",T23*F23)</f>
        <v>82271.5</v>
      </c>
      <c r="W23" s="6"/>
    </row>
    <row r="24" customFormat="false" ht="35.05" hidden="false" customHeight="false" outlineLevel="0" collapsed="false">
      <c r="A24" s="5" t="n">
        <v>19</v>
      </c>
      <c r="B24" s="6" t="s">
        <v>108</v>
      </c>
      <c r="C24" s="6" t="s">
        <v>109</v>
      </c>
      <c r="D24" s="6" t="s">
        <v>110</v>
      </c>
      <c r="E24" s="5" t="s">
        <v>37</v>
      </c>
      <c r="F24" s="5" t="n">
        <v>100</v>
      </c>
      <c r="G24" s="7" t="n">
        <v>1015.75</v>
      </c>
      <c r="H24" s="6" t="s">
        <v>111</v>
      </c>
      <c r="I24" s="7"/>
      <c r="J24" s="6"/>
      <c r="K24" s="7"/>
      <c r="L24" s="6"/>
      <c r="M24" s="7"/>
      <c r="N24" s="6"/>
      <c r="O24" s="7" t="n">
        <v>294.53</v>
      </c>
      <c r="P24" s="6" t="s">
        <v>112</v>
      </c>
      <c r="Q24" s="7"/>
      <c r="R24" s="6"/>
      <c r="S24" s="5" t="n">
        <f aca="false">COUNT(G24,I24,K24,M24,O24,Q24)</f>
        <v>2</v>
      </c>
      <c r="T24" s="8" t="n">
        <f aca="false">IF(S24=0,"",MIN(G24,I24,K24,M24,O24,Q24))</f>
        <v>294.53</v>
      </c>
      <c r="U24" s="9" t="str">
        <f aca="false">IF(S24=0,"No quote",LEFT(IF(AND(ISNUMBER(G24),G24=T24),"Ahsan, ","")&amp;IF(AND(ISNUMBER(I24),I24=T24),"Aslam, ","")&amp;IF(AND(ISNUMBER(K24),K24=T24),"Jamil, ","")&amp;IF(AND(ISNUMBER(M24),M24=T24),"Muller, ","")&amp;IF(AND(ISNUMBER(O24),O24=T24),"NMMC, ","")&amp;IF(AND(ISNUMBER(Q24),Q24=T24),"Platinum, ",""),LEN(IF(AND(ISNUMBER(G24),G24=T24),"Ahsan, ","")&amp;IF(AND(ISNUMBER(I24),I24=T24),"Aslam, ","")&amp;IF(AND(ISNUMBER(K24),K24=T24),"Jamil, ","")&amp;IF(AND(ISNUMBER(M24),M24=T24),"Muller, ","")&amp;IF(AND(ISNUMBER(O24),O24=T24),"NMMC, ","")&amp;IF(AND(ISNUMBER(Q24),Q24=T24),"Platinum, ",""))-2))</f>
        <v>NMMC</v>
      </c>
      <c r="V24" s="10" t="n">
        <f aca="false">IF(S24=0,"",T24*F24)</f>
        <v>29453</v>
      </c>
      <c r="W24" s="6"/>
    </row>
    <row r="25" customFormat="false" ht="57.45" hidden="false" customHeight="false" outlineLevel="0" collapsed="false">
      <c r="A25" s="5" t="n">
        <v>20</v>
      </c>
      <c r="B25" s="6" t="s">
        <v>113</v>
      </c>
      <c r="C25" s="6" t="s">
        <v>114</v>
      </c>
      <c r="D25" s="6" t="s">
        <v>115</v>
      </c>
      <c r="E25" s="5" t="s">
        <v>37</v>
      </c>
      <c r="F25" s="5" t="n">
        <v>300</v>
      </c>
      <c r="G25" s="7" t="n">
        <v>348.5</v>
      </c>
      <c r="H25" s="6" t="s">
        <v>116</v>
      </c>
      <c r="I25" s="7"/>
      <c r="J25" s="6"/>
      <c r="K25" s="7"/>
      <c r="L25" s="6"/>
      <c r="M25" s="7" t="n">
        <v>291.04</v>
      </c>
      <c r="N25" s="6" t="s">
        <v>117</v>
      </c>
      <c r="O25" s="7" t="n">
        <v>152.405</v>
      </c>
      <c r="P25" s="6" t="s">
        <v>118</v>
      </c>
      <c r="Q25" s="7"/>
      <c r="R25" s="6"/>
      <c r="S25" s="5" t="n">
        <f aca="false">COUNT(G25,I25,K25,M25,O25,Q25)</f>
        <v>3</v>
      </c>
      <c r="T25" s="8" t="n">
        <f aca="false">IF(S25=0,"",MIN(G25,I25,K25,M25,O25,Q25))</f>
        <v>152.405</v>
      </c>
      <c r="U25" s="9" t="str">
        <f aca="false">IF(S25=0,"No quote",LEFT(IF(AND(ISNUMBER(G25),G25=T25),"Ahsan, ","")&amp;IF(AND(ISNUMBER(I25),I25=T25),"Aslam, ","")&amp;IF(AND(ISNUMBER(K25),K25=T25),"Jamil, ","")&amp;IF(AND(ISNUMBER(M25),M25=T25),"Muller, ","")&amp;IF(AND(ISNUMBER(O25),O25=T25),"NMMC, ","")&amp;IF(AND(ISNUMBER(Q25),Q25=T25),"Platinum, ",""),LEN(IF(AND(ISNUMBER(G25),G25=T25),"Ahsan, ","")&amp;IF(AND(ISNUMBER(I25),I25=T25),"Aslam, ","")&amp;IF(AND(ISNUMBER(K25),K25=T25),"Jamil, ","")&amp;IF(AND(ISNUMBER(M25),M25=T25),"Muller, ","")&amp;IF(AND(ISNUMBER(O25),O25=T25),"NMMC, ","")&amp;IF(AND(ISNUMBER(Q25),Q25=T25),"Platinum, ",""))-2))</f>
        <v>NMMC</v>
      </c>
      <c r="V25" s="10" t="n">
        <f aca="false">IF(S25=0,"",T25*F25)</f>
        <v>45721.5</v>
      </c>
      <c r="W25" s="6"/>
    </row>
    <row r="26" customFormat="false" ht="35.05" hidden="false" customHeight="false" outlineLevel="0" collapsed="false">
      <c r="A26" s="5" t="n">
        <v>21</v>
      </c>
      <c r="B26" s="6" t="s">
        <v>119</v>
      </c>
      <c r="C26" s="6" t="s">
        <v>120</v>
      </c>
      <c r="D26" s="6" t="s">
        <v>121</v>
      </c>
      <c r="E26" s="5" t="s">
        <v>37</v>
      </c>
      <c r="F26" s="5" t="n">
        <v>35</v>
      </c>
      <c r="G26" s="7"/>
      <c r="H26" s="6"/>
      <c r="I26" s="7" t="n">
        <v>578</v>
      </c>
      <c r="J26" s="6" t="s">
        <v>46</v>
      </c>
      <c r="K26" s="7"/>
      <c r="L26" s="6"/>
      <c r="M26" s="7" t="n">
        <v>509.32</v>
      </c>
      <c r="N26" s="6" t="s">
        <v>122</v>
      </c>
      <c r="O26" s="7" t="n">
        <v>387.6</v>
      </c>
      <c r="P26" s="6" t="s">
        <v>123</v>
      </c>
      <c r="Q26" s="7"/>
      <c r="R26" s="6"/>
      <c r="S26" s="5" t="n">
        <f aca="false">COUNT(G26,I26,K26,M26,O26,Q26)</f>
        <v>3</v>
      </c>
      <c r="T26" s="8" t="n">
        <f aca="false">IF(S26=0,"",MIN(G26,I26,K26,M26,O26,Q26))</f>
        <v>387.6</v>
      </c>
      <c r="U26" s="9" t="str">
        <f aca="false">IF(S26=0,"No quote",LEFT(IF(AND(ISNUMBER(G26),G26=T26),"Ahsan, ","")&amp;IF(AND(ISNUMBER(I26),I26=T26),"Aslam, ","")&amp;IF(AND(ISNUMBER(K26),K26=T26),"Jamil, ","")&amp;IF(AND(ISNUMBER(M26),M26=T26),"Muller, ","")&amp;IF(AND(ISNUMBER(O26),O26=T26),"NMMC, ","")&amp;IF(AND(ISNUMBER(Q26),Q26=T26),"Platinum, ",""),LEN(IF(AND(ISNUMBER(G26),G26=T26),"Ahsan, ","")&amp;IF(AND(ISNUMBER(I26),I26=T26),"Aslam, ","")&amp;IF(AND(ISNUMBER(K26),K26=T26),"Jamil, ","")&amp;IF(AND(ISNUMBER(M26),M26=T26),"Muller, ","")&amp;IF(AND(ISNUMBER(O26),O26=T26),"NMMC, ","")&amp;IF(AND(ISNUMBER(Q26),Q26=T26),"Platinum, ",""))-2))</f>
        <v>NMMC</v>
      </c>
      <c r="V26" s="10" t="n">
        <f aca="false">IF(S26=0,"",T26*F26)</f>
        <v>13566</v>
      </c>
      <c r="W26" s="6"/>
    </row>
    <row r="27" customFormat="false" ht="35.05" hidden="false" customHeight="false" outlineLevel="0" collapsed="false">
      <c r="A27" s="5" t="n">
        <v>22</v>
      </c>
      <c r="B27" s="6" t="s">
        <v>124</v>
      </c>
      <c r="C27" s="6" t="s">
        <v>125</v>
      </c>
      <c r="D27" s="6" t="s">
        <v>126</v>
      </c>
      <c r="E27" s="5" t="s">
        <v>37</v>
      </c>
      <c r="F27" s="5" t="n">
        <v>50</v>
      </c>
      <c r="G27" s="7" t="n">
        <v>403.75</v>
      </c>
      <c r="H27" s="6" t="s">
        <v>127</v>
      </c>
      <c r="I27" s="7"/>
      <c r="J27" s="6"/>
      <c r="K27" s="7"/>
      <c r="L27" s="6"/>
      <c r="M27" s="7" t="n">
        <v>516.757</v>
      </c>
      <c r="N27" s="6" t="s">
        <v>128</v>
      </c>
      <c r="O27" s="7" t="n">
        <v>267.75</v>
      </c>
      <c r="P27" s="6" t="s">
        <v>129</v>
      </c>
      <c r="Q27" s="7"/>
      <c r="R27" s="6"/>
      <c r="S27" s="5" t="n">
        <f aca="false">COUNT(G27,I27,K27,M27,O27,Q27)</f>
        <v>3</v>
      </c>
      <c r="T27" s="8" t="n">
        <f aca="false">IF(S27=0,"",MIN(G27,I27,K27,M27,O27,Q27))</f>
        <v>267.75</v>
      </c>
      <c r="U27" s="9" t="str">
        <f aca="false">IF(S27=0,"No quote",LEFT(IF(AND(ISNUMBER(G27),G27=T27),"Ahsan, ","")&amp;IF(AND(ISNUMBER(I27),I27=T27),"Aslam, ","")&amp;IF(AND(ISNUMBER(K27),K27=T27),"Jamil, ","")&amp;IF(AND(ISNUMBER(M27),M27=T27),"Muller, ","")&amp;IF(AND(ISNUMBER(O27),O27=T27),"NMMC, ","")&amp;IF(AND(ISNUMBER(Q27),Q27=T27),"Platinum, ",""),LEN(IF(AND(ISNUMBER(G27),G27=T27),"Ahsan, ","")&amp;IF(AND(ISNUMBER(I27),I27=T27),"Aslam, ","")&amp;IF(AND(ISNUMBER(K27),K27=T27),"Jamil, ","")&amp;IF(AND(ISNUMBER(M27),M27=T27),"Muller, ","")&amp;IF(AND(ISNUMBER(O27),O27=T27),"NMMC, ","")&amp;IF(AND(ISNUMBER(Q27),Q27=T27),"Platinum, ",""))-2))</f>
        <v>NMMC</v>
      </c>
      <c r="V27" s="10" t="n">
        <f aca="false">IF(S27=0,"",T27*F27)</f>
        <v>13387.5</v>
      </c>
      <c r="W27" s="6"/>
    </row>
    <row r="28" customFormat="false" ht="57.45" hidden="false" customHeight="false" outlineLevel="0" collapsed="false">
      <c r="A28" s="5" t="n">
        <v>23</v>
      </c>
      <c r="B28" s="6" t="s">
        <v>130</v>
      </c>
      <c r="C28" s="6" t="s">
        <v>131</v>
      </c>
      <c r="D28" s="6" t="s">
        <v>132</v>
      </c>
      <c r="E28" s="5" t="s">
        <v>37</v>
      </c>
      <c r="F28" s="5" t="n">
        <v>1000</v>
      </c>
      <c r="G28" s="7" t="n">
        <v>408</v>
      </c>
      <c r="H28" s="6" t="s">
        <v>38</v>
      </c>
      <c r="I28" s="7" t="n">
        <v>425</v>
      </c>
      <c r="J28" s="6" t="s">
        <v>39</v>
      </c>
      <c r="K28" s="7" t="n">
        <v>333.2</v>
      </c>
      <c r="L28" s="6" t="s">
        <v>133</v>
      </c>
      <c r="M28" s="7" t="n">
        <v>357</v>
      </c>
      <c r="N28" s="6" t="s">
        <v>41</v>
      </c>
      <c r="O28" s="7" t="n">
        <v>306</v>
      </c>
      <c r="P28" s="6" t="s">
        <v>134</v>
      </c>
      <c r="Q28" s="7"/>
      <c r="R28" s="6"/>
      <c r="S28" s="5" t="n">
        <f aca="false">COUNT(G28,I28,K28,M28,O28,Q28)</f>
        <v>5</v>
      </c>
      <c r="T28" s="8" t="n">
        <f aca="false">IF(S28=0,"",MIN(G28,I28,K28,M28,O28,Q28))</f>
        <v>306</v>
      </c>
      <c r="U28" s="9" t="str">
        <f aca="false">IF(S28=0,"No quote",LEFT(IF(AND(ISNUMBER(G28),G28=T28),"Ahsan, ","")&amp;IF(AND(ISNUMBER(I28),I28=T28),"Aslam, ","")&amp;IF(AND(ISNUMBER(K28),K28=T28),"Jamil, ","")&amp;IF(AND(ISNUMBER(M28),M28=T28),"Muller, ","")&amp;IF(AND(ISNUMBER(O28),O28=T28),"NMMC, ","")&amp;IF(AND(ISNUMBER(Q28),Q28=T28),"Platinum, ",""),LEN(IF(AND(ISNUMBER(G28),G28=T28),"Ahsan, ","")&amp;IF(AND(ISNUMBER(I28),I28=T28),"Aslam, ","")&amp;IF(AND(ISNUMBER(K28),K28=T28),"Jamil, ","")&amp;IF(AND(ISNUMBER(M28),M28=T28),"Muller, ","")&amp;IF(AND(ISNUMBER(O28),O28=T28),"NMMC, ","")&amp;IF(AND(ISNUMBER(Q28),Q28=T28),"Platinum, ",""))-2))</f>
        <v>NMMC</v>
      </c>
      <c r="V28" s="10" t="n">
        <f aca="false">IF(S28=0,"",T28*F28)</f>
        <v>306000</v>
      </c>
      <c r="W28" s="6" t="s">
        <v>135</v>
      </c>
    </row>
    <row r="29" customFormat="false" ht="46.25" hidden="false" customHeight="false" outlineLevel="0" collapsed="false">
      <c r="A29" s="5" t="n">
        <v>24</v>
      </c>
      <c r="B29" s="6" t="s">
        <v>136</v>
      </c>
      <c r="C29" s="6" t="s">
        <v>137</v>
      </c>
      <c r="D29" s="6" t="s">
        <v>138</v>
      </c>
      <c r="E29" s="5" t="s">
        <v>24</v>
      </c>
      <c r="F29" s="5" t="n">
        <v>300</v>
      </c>
      <c r="G29" s="7"/>
      <c r="H29" s="6"/>
      <c r="I29" s="7"/>
      <c r="J29" s="6"/>
      <c r="K29" s="7" t="n">
        <v>245.48</v>
      </c>
      <c r="L29" s="6" t="s">
        <v>139</v>
      </c>
      <c r="M29" s="7" t="n">
        <v>261.8</v>
      </c>
      <c r="N29" s="6" t="s">
        <v>140</v>
      </c>
      <c r="O29" s="7" t="n">
        <v>111.69</v>
      </c>
      <c r="P29" s="6" t="s">
        <v>141</v>
      </c>
      <c r="Q29" s="7"/>
      <c r="R29" s="6"/>
      <c r="S29" s="5" t="n">
        <f aca="false">COUNT(G29,I29,K29,M29,O29,Q29)</f>
        <v>3</v>
      </c>
      <c r="T29" s="8" t="n">
        <f aca="false">IF(S29=0,"",MIN(G29,I29,K29,M29,O29,Q29))</f>
        <v>111.69</v>
      </c>
      <c r="U29" s="9" t="str">
        <f aca="false">IF(S29=0,"No quote",LEFT(IF(AND(ISNUMBER(G29),G29=T29),"Ahsan, ","")&amp;IF(AND(ISNUMBER(I29),I29=T29),"Aslam, ","")&amp;IF(AND(ISNUMBER(K29),K29=T29),"Jamil, ","")&amp;IF(AND(ISNUMBER(M29),M29=T29),"Muller, ","")&amp;IF(AND(ISNUMBER(O29),O29=T29),"NMMC, ","")&amp;IF(AND(ISNUMBER(Q29),Q29=T29),"Platinum, ",""),LEN(IF(AND(ISNUMBER(G29),G29=T29),"Ahsan, ","")&amp;IF(AND(ISNUMBER(I29),I29=T29),"Aslam, ","")&amp;IF(AND(ISNUMBER(K29),K29=T29),"Jamil, ","")&amp;IF(AND(ISNUMBER(M29),M29=T29),"Muller, ","")&amp;IF(AND(ISNUMBER(O29),O29=T29),"NMMC, ","")&amp;IF(AND(ISNUMBER(Q29),Q29=T29),"Platinum, ",""))-2))</f>
        <v>NMMC</v>
      </c>
      <c r="V29" s="10" t="n">
        <f aca="false">IF(S29=0,"",T29*F29)</f>
        <v>33507</v>
      </c>
      <c r="W29" s="6"/>
    </row>
    <row r="30" customFormat="false" ht="35.05" hidden="false" customHeight="false" outlineLevel="0" collapsed="false">
      <c r="A30" s="5" t="n">
        <v>25</v>
      </c>
      <c r="B30" s="6" t="s">
        <v>142</v>
      </c>
      <c r="C30" s="6" t="s">
        <v>143</v>
      </c>
      <c r="D30" s="6" t="s">
        <v>144</v>
      </c>
      <c r="E30" s="5" t="s">
        <v>37</v>
      </c>
      <c r="F30" s="5" t="n">
        <v>100</v>
      </c>
      <c r="G30" s="7"/>
      <c r="H30" s="6"/>
      <c r="I30" s="7"/>
      <c r="J30" s="6"/>
      <c r="K30" s="7" t="n">
        <v>267.75</v>
      </c>
      <c r="L30" s="6" t="s">
        <v>145</v>
      </c>
      <c r="M30" s="7"/>
      <c r="N30" s="6"/>
      <c r="O30" s="7"/>
      <c r="P30" s="6"/>
      <c r="Q30" s="7"/>
      <c r="R30" s="6"/>
      <c r="S30" s="5" t="n">
        <f aca="false">COUNT(G30,I30,K30,M30,O30,Q30)</f>
        <v>1</v>
      </c>
      <c r="T30" s="8" t="n">
        <f aca="false">IF(S30=0,"",MIN(G30,I30,K30,M30,O30,Q30))</f>
        <v>267.75</v>
      </c>
      <c r="U30" s="9" t="str">
        <f aca="false">IF(S30=0,"No quote",LEFT(IF(AND(ISNUMBER(G30),G30=T30),"Ahsan, ","")&amp;IF(AND(ISNUMBER(I30),I30=T30),"Aslam, ","")&amp;IF(AND(ISNUMBER(K30),K30=T30),"Jamil, ","")&amp;IF(AND(ISNUMBER(M30),M30=T30),"Muller, ","")&amp;IF(AND(ISNUMBER(O30),O30=T30),"NMMC, ","")&amp;IF(AND(ISNUMBER(Q30),Q30=T30),"Platinum, ",""),LEN(IF(AND(ISNUMBER(G30),G30=T30),"Ahsan, ","")&amp;IF(AND(ISNUMBER(I30),I30=T30),"Aslam, ","")&amp;IF(AND(ISNUMBER(K30),K30=T30),"Jamil, ","")&amp;IF(AND(ISNUMBER(M30),M30=T30),"Muller, ","")&amp;IF(AND(ISNUMBER(O30),O30=T30),"NMMC, ","")&amp;IF(AND(ISNUMBER(Q30),Q30=T30),"Platinum, ",""))-2))</f>
        <v>Jamil</v>
      </c>
      <c r="V30" s="10" t="n">
        <f aca="false">IF(S30=0,"",T30*F30)</f>
        <v>26775</v>
      </c>
      <c r="W30" s="6"/>
    </row>
    <row r="31" customFormat="false" ht="23.85" hidden="false" customHeight="false" outlineLevel="0" collapsed="false">
      <c r="A31" s="5" t="n">
        <v>26</v>
      </c>
      <c r="B31" s="6" t="s">
        <v>146</v>
      </c>
      <c r="C31" s="6" t="s">
        <v>147</v>
      </c>
      <c r="D31" s="6" t="s">
        <v>148</v>
      </c>
      <c r="E31" s="5" t="s">
        <v>24</v>
      </c>
      <c r="F31" s="5" t="n">
        <v>100</v>
      </c>
      <c r="G31" s="7"/>
      <c r="H31" s="6"/>
      <c r="I31" s="7"/>
      <c r="J31" s="6"/>
      <c r="K31" s="7"/>
      <c r="L31" s="6"/>
      <c r="M31" s="7"/>
      <c r="N31" s="6"/>
      <c r="O31" s="7" t="n">
        <v>147.9</v>
      </c>
      <c r="P31" s="6" t="s">
        <v>149</v>
      </c>
      <c r="Q31" s="7"/>
      <c r="R31" s="6"/>
      <c r="S31" s="5" t="n">
        <f aca="false">COUNT(G31,I31,K31,M31,O31,Q31)</f>
        <v>1</v>
      </c>
      <c r="T31" s="8" t="n">
        <f aca="false">IF(S31=0,"",MIN(G31,I31,K31,M31,O31,Q31))</f>
        <v>147.9</v>
      </c>
      <c r="U31" s="9" t="str">
        <f aca="false">IF(S31=0,"No quote",LEFT(IF(AND(ISNUMBER(G31),G31=T31),"Ahsan, ","")&amp;IF(AND(ISNUMBER(I31),I31=T31),"Aslam, ","")&amp;IF(AND(ISNUMBER(K31),K31=T31),"Jamil, ","")&amp;IF(AND(ISNUMBER(M31),M31=T31),"Muller, ","")&amp;IF(AND(ISNUMBER(O31),O31=T31),"NMMC, ","")&amp;IF(AND(ISNUMBER(Q31),Q31=T31),"Platinum, ",""),LEN(IF(AND(ISNUMBER(G31),G31=T31),"Ahsan, ","")&amp;IF(AND(ISNUMBER(I31),I31=T31),"Aslam, ","")&amp;IF(AND(ISNUMBER(K31),K31=T31),"Jamil, ","")&amp;IF(AND(ISNUMBER(M31),M31=T31),"Muller, ","")&amp;IF(AND(ISNUMBER(O31),O31=T31),"NMMC, ","")&amp;IF(AND(ISNUMBER(Q31),Q31=T31),"Platinum, ",""))-2))</f>
        <v>NMMC</v>
      </c>
      <c r="V31" s="10" t="n">
        <f aca="false">IF(S31=0,"",T31*F31)</f>
        <v>14790</v>
      </c>
      <c r="W31" s="6"/>
    </row>
    <row r="32" customFormat="false" ht="23.85" hidden="false" customHeight="false" outlineLevel="0" collapsed="false">
      <c r="A32" s="5" t="n">
        <v>27</v>
      </c>
      <c r="B32" s="6" t="s">
        <v>150</v>
      </c>
      <c r="C32" s="6" t="s">
        <v>151</v>
      </c>
      <c r="D32" s="6" t="s">
        <v>152</v>
      </c>
      <c r="E32" s="5" t="s">
        <v>24</v>
      </c>
      <c r="F32" s="5" t="n">
        <v>100</v>
      </c>
      <c r="G32" s="7"/>
      <c r="H32" s="6"/>
      <c r="I32" s="7"/>
      <c r="J32" s="6"/>
      <c r="K32" s="7"/>
      <c r="L32" s="6"/>
      <c r="M32" s="7"/>
      <c r="N32" s="6"/>
      <c r="O32" s="7"/>
      <c r="P32" s="6"/>
      <c r="Q32" s="7" t="n">
        <v>343.19</v>
      </c>
      <c r="R32" s="6" t="s">
        <v>153</v>
      </c>
      <c r="S32" s="5" t="n">
        <f aca="false">COUNT(G32,I32,K32,M32,O32,Q32)</f>
        <v>1</v>
      </c>
      <c r="T32" s="8" t="n">
        <f aca="false">IF(S32=0,"",MIN(G32,I32,K32,M32,O32,Q32))</f>
        <v>343.19</v>
      </c>
      <c r="U32" s="9" t="str">
        <f aca="false">IF(S32=0,"No quote",LEFT(IF(AND(ISNUMBER(G32),G32=T32),"Ahsan, ","")&amp;IF(AND(ISNUMBER(I32),I32=T32),"Aslam, ","")&amp;IF(AND(ISNUMBER(K32),K32=T32),"Jamil, ","")&amp;IF(AND(ISNUMBER(M32),M32=T32),"Muller, ","")&amp;IF(AND(ISNUMBER(O32),O32=T32),"NMMC, ","")&amp;IF(AND(ISNUMBER(Q32),Q32=T32),"Platinum, ",""),LEN(IF(AND(ISNUMBER(G32),G32=T32),"Ahsan, ","")&amp;IF(AND(ISNUMBER(I32),I32=T32),"Aslam, ","")&amp;IF(AND(ISNUMBER(K32),K32=T32),"Jamil, ","")&amp;IF(AND(ISNUMBER(M32),M32=T32),"Muller, ","")&amp;IF(AND(ISNUMBER(O32),O32=T32),"NMMC, ","")&amp;IF(AND(ISNUMBER(Q32),Q32=T32),"Platinum, ",""))-2))</f>
        <v>Platinum</v>
      </c>
      <c r="V32" s="10" t="n">
        <f aca="false">IF(S32=0,"",T32*F32)</f>
        <v>34319</v>
      </c>
      <c r="W32" s="6"/>
    </row>
    <row r="33" customFormat="false" ht="23.85" hidden="false" customHeight="false" outlineLevel="0" collapsed="false">
      <c r="A33" s="5" t="n">
        <v>28</v>
      </c>
      <c r="B33" s="6" t="s">
        <v>154</v>
      </c>
      <c r="C33" s="6" t="s">
        <v>155</v>
      </c>
      <c r="D33" s="6" t="s">
        <v>156</v>
      </c>
      <c r="E33" s="5" t="s">
        <v>37</v>
      </c>
      <c r="F33" s="5" t="n">
        <v>2500</v>
      </c>
      <c r="G33" s="7"/>
      <c r="H33" s="6"/>
      <c r="I33" s="7"/>
      <c r="J33" s="6"/>
      <c r="K33" s="7"/>
      <c r="L33" s="6"/>
      <c r="M33" s="7" t="n">
        <v>743.4</v>
      </c>
      <c r="N33" s="6" t="s">
        <v>157</v>
      </c>
      <c r="O33" s="7" t="n">
        <v>329.73</v>
      </c>
      <c r="P33" s="6" t="s">
        <v>158</v>
      </c>
      <c r="Q33" s="7"/>
      <c r="R33" s="6"/>
      <c r="S33" s="5" t="n">
        <f aca="false">COUNT(G33,I33,K33,M33,O33,Q33)</f>
        <v>2</v>
      </c>
      <c r="T33" s="8" t="n">
        <f aca="false">IF(S33=0,"",MIN(G33,I33,K33,M33,O33,Q33))</f>
        <v>329.73</v>
      </c>
      <c r="U33" s="9" t="str">
        <f aca="false">IF(S33=0,"No quote",LEFT(IF(AND(ISNUMBER(G33),G33=T33),"Ahsan, ","")&amp;IF(AND(ISNUMBER(I33),I33=T33),"Aslam, ","")&amp;IF(AND(ISNUMBER(K33),K33=T33),"Jamil, ","")&amp;IF(AND(ISNUMBER(M33),M33=T33),"Muller, ","")&amp;IF(AND(ISNUMBER(O33),O33=T33),"NMMC, ","")&amp;IF(AND(ISNUMBER(Q33),Q33=T33),"Platinum, ",""),LEN(IF(AND(ISNUMBER(G33),G33=T33),"Ahsan, ","")&amp;IF(AND(ISNUMBER(I33),I33=T33),"Aslam, ","")&amp;IF(AND(ISNUMBER(K33),K33=T33),"Jamil, ","")&amp;IF(AND(ISNUMBER(M33),M33=T33),"Muller, ","")&amp;IF(AND(ISNUMBER(O33),O33=T33),"NMMC, ","")&amp;IF(AND(ISNUMBER(Q33),Q33=T33),"Platinum, ",""))-2))</f>
        <v>NMMC</v>
      </c>
      <c r="V33" s="10" t="n">
        <f aca="false">IF(S33=0,"",T33*F33)</f>
        <v>824325</v>
      </c>
      <c r="W33" s="6"/>
    </row>
    <row r="34" customFormat="false" ht="23.85" hidden="false" customHeight="false" outlineLevel="0" collapsed="false">
      <c r="A34" s="5" t="n">
        <v>29</v>
      </c>
      <c r="B34" s="6" t="s">
        <v>159</v>
      </c>
      <c r="C34" s="6" t="s">
        <v>160</v>
      </c>
      <c r="D34" s="6" t="s">
        <v>161</v>
      </c>
      <c r="E34" s="5" t="s">
        <v>24</v>
      </c>
      <c r="F34" s="5" t="n">
        <v>50</v>
      </c>
      <c r="G34" s="7"/>
      <c r="H34" s="6"/>
      <c r="I34" s="7"/>
      <c r="J34" s="6"/>
      <c r="K34" s="7" t="n">
        <v>153.53</v>
      </c>
      <c r="L34" s="6" t="s">
        <v>162</v>
      </c>
      <c r="M34" s="7"/>
      <c r="N34" s="6"/>
      <c r="O34" s="7" t="n">
        <v>102</v>
      </c>
      <c r="P34" s="6" t="s">
        <v>163</v>
      </c>
      <c r="Q34" s="7"/>
      <c r="R34" s="6"/>
      <c r="S34" s="5" t="n">
        <f aca="false">COUNT(G34,I34,K34,M34,O34,Q34)</f>
        <v>2</v>
      </c>
      <c r="T34" s="8" t="n">
        <f aca="false">IF(S34=0,"",MIN(G34,I34,K34,M34,O34,Q34))</f>
        <v>102</v>
      </c>
      <c r="U34" s="9" t="str">
        <f aca="false">IF(S34=0,"No quote",LEFT(IF(AND(ISNUMBER(G34),G34=T34),"Ahsan, ","")&amp;IF(AND(ISNUMBER(I34),I34=T34),"Aslam, ","")&amp;IF(AND(ISNUMBER(K34),K34=T34),"Jamil, ","")&amp;IF(AND(ISNUMBER(M34),M34=T34),"Muller, ","")&amp;IF(AND(ISNUMBER(O34),O34=T34),"NMMC, ","")&amp;IF(AND(ISNUMBER(Q34),Q34=T34),"Platinum, ",""),LEN(IF(AND(ISNUMBER(G34),G34=T34),"Ahsan, ","")&amp;IF(AND(ISNUMBER(I34),I34=T34),"Aslam, ","")&amp;IF(AND(ISNUMBER(K34),K34=T34),"Jamil, ","")&amp;IF(AND(ISNUMBER(M34),M34=T34),"Muller, ","")&amp;IF(AND(ISNUMBER(O34),O34=T34),"NMMC, ","")&amp;IF(AND(ISNUMBER(Q34),Q34=T34),"Platinum, ",""))-2))</f>
        <v>NMMC</v>
      </c>
      <c r="V34" s="10" t="n">
        <f aca="false">IF(S34=0,"",T34*F34)</f>
        <v>5100</v>
      </c>
      <c r="W34" s="6"/>
    </row>
    <row r="35" customFormat="false" ht="35.05" hidden="false" customHeight="false" outlineLevel="0" collapsed="false">
      <c r="A35" s="5" t="n">
        <v>30</v>
      </c>
      <c r="B35" s="6" t="s">
        <v>164</v>
      </c>
      <c r="C35" s="6" t="s">
        <v>165</v>
      </c>
      <c r="D35" s="6" t="s">
        <v>166</v>
      </c>
      <c r="E35" s="5" t="s">
        <v>24</v>
      </c>
      <c r="F35" s="5" t="n">
        <v>200</v>
      </c>
      <c r="G35" s="7"/>
      <c r="H35" s="6"/>
      <c r="I35" s="7" t="n">
        <v>254.27</v>
      </c>
      <c r="J35" s="6" t="s">
        <v>57</v>
      </c>
      <c r="K35" s="7" t="n">
        <v>254.29</v>
      </c>
      <c r="L35" s="6" t="s">
        <v>167</v>
      </c>
      <c r="M35" s="7" t="n">
        <v>165.82</v>
      </c>
      <c r="N35" s="6" t="s">
        <v>168</v>
      </c>
      <c r="O35" s="7" t="n">
        <v>153.43</v>
      </c>
      <c r="P35" s="6" t="s">
        <v>169</v>
      </c>
      <c r="Q35" s="7"/>
      <c r="R35" s="6"/>
      <c r="S35" s="5" t="n">
        <f aca="false">COUNT(G35,I35,K35,M35,O35,Q35)</f>
        <v>4</v>
      </c>
      <c r="T35" s="8" t="n">
        <f aca="false">IF(S35=0,"",MIN(G35,I35,K35,M35,O35,Q35))</f>
        <v>153.43</v>
      </c>
      <c r="U35" s="9" t="str">
        <f aca="false">IF(S35=0,"No quote",LEFT(IF(AND(ISNUMBER(G35),G35=T35),"Ahsan, ","")&amp;IF(AND(ISNUMBER(I35),I35=T35),"Aslam, ","")&amp;IF(AND(ISNUMBER(K35),K35=T35),"Jamil, ","")&amp;IF(AND(ISNUMBER(M35),M35=T35),"Muller, ","")&amp;IF(AND(ISNUMBER(O35),O35=T35),"NMMC, ","")&amp;IF(AND(ISNUMBER(Q35),Q35=T35),"Platinum, ",""),LEN(IF(AND(ISNUMBER(G35),G35=T35),"Ahsan, ","")&amp;IF(AND(ISNUMBER(I35),I35=T35),"Aslam, ","")&amp;IF(AND(ISNUMBER(K35),K35=T35),"Jamil, ","")&amp;IF(AND(ISNUMBER(M35),M35=T35),"Muller, ","")&amp;IF(AND(ISNUMBER(O35),O35=T35),"NMMC, ","")&amp;IF(AND(ISNUMBER(Q35),Q35=T35),"Platinum, ",""))-2))</f>
        <v>NMMC</v>
      </c>
      <c r="V35" s="10" t="n">
        <f aca="false">IF(S35=0,"",T35*F35)</f>
        <v>30686</v>
      </c>
      <c r="W35" s="6"/>
    </row>
    <row r="36" customFormat="false" ht="23.85" hidden="false" customHeight="false" outlineLevel="0" collapsed="false">
      <c r="A36" s="5" t="n">
        <v>31</v>
      </c>
      <c r="B36" s="6" t="s">
        <v>170</v>
      </c>
      <c r="C36" s="6" t="s">
        <v>171</v>
      </c>
      <c r="D36" s="6" t="s">
        <v>172</v>
      </c>
      <c r="E36" s="5" t="s">
        <v>24</v>
      </c>
      <c r="F36" s="5" t="n">
        <v>200</v>
      </c>
      <c r="G36" s="7"/>
      <c r="H36" s="6"/>
      <c r="I36" s="7"/>
      <c r="J36" s="6"/>
      <c r="K36" s="7" t="n">
        <v>109.96</v>
      </c>
      <c r="L36" s="6" t="s">
        <v>173</v>
      </c>
      <c r="M36" s="7"/>
      <c r="N36" s="6"/>
      <c r="O36" s="7"/>
      <c r="P36" s="6"/>
      <c r="Q36" s="7"/>
      <c r="R36" s="6"/>
      <c r="S36" s="5" t="n">
        <f aca="false">COUNT(G36,I36,K36,M36,O36,Q36)</f>
        <v>1</v>
      </c>
      <c r="T36" s="8" t="n">
        <f aca="false">IF(S36=0,"",MIN(G36,I36,K36,M36,O36,Q36))</f>
        <v>109.96</v>
      </c>
      <c r="U36" s="9" t="str">
        <f aca="false">IF(S36=0,"No quote",LEFT(IF(AND(ISNUMBER(G36),G36=T36),"Ahsan, ","")&amp;IF(AND(ISNUMBER(I36),I36=T36),"Aslam, ","")&amp;IF(AND(ISNUMBER(K36),K36=T36),"Jamil, ","")&amp;IF(AND(ISNUMBER(M36),M36=T36),"Muller, ","")&amp;IF(AND(ISNUMBER(O36),O36=T36),"NMMC, ","")&amp;IF(AND(ISNUMBER(Q36),Q36=T36),"Platinum, ",""),LEN(IF(AND(ISNUMBER(G36),G36=T36),"Ahsan, ","")&amp;IF(AND(ISNUMBER(I36),I36=T36),"Aslam, ","")&amp;IF(AND(ISNUMBER(K36),K36=T36),"Jamil, ","")&amp;IF(AND(ISNUMBER(M36),M36=T36),"Muller, ","")&amp;IF(AND(ISNUMBER(O36),O36=T36),"NMMC, ","")&amp;IF(AND(ISNUMBER(Q36),Q36=T36),"Platinum, ",""))-2))</f>
        <v>Jamil</v>
      </c>
      <c r="V36" s="10" t="n">
        <f aca="false">IF(S36=0,"",T36*F36)</f>
        <v>21992</v>
      </c>
      <c r="W36" s="6"/>
    </row>
    <row r="37" customFormat="false" ht="23.85" hidden="false" customHeight="false" outlineLevel="0" collapsed="false">
      <c r="A37" s="5" t="n">
        <v>32</v>
      </c>
      <c r="B37" s="6" t="s">
        <v>174</v>
      </c>
      <c r="C37" s="6" t="s">
        <v>175</v>
      </c>
      <c r="D37" s="6" t="s">
        <v>176</v>
      </c>
      <c r="E37" s="5" t="s">
        <v>37</v>
      </c>
      <c r="F37" s="5" t="n">
        <v>50</v>
      </c>
      <c r="G37" s="7"/>
      <c r="H37" s="6"/>
      <c r="I37" s="7"/>
      <c r="J37" s="6"/>
      <c r="K37" s="7"/>
      <c r="L37" s="6"/>
      <c r="M37" s="7"/>
      <c r="N37" s="6"/>
      <c r="O37" s="7"/>
      <c r="P37" s="6"/>
      <c r="Q37" s="7"/>
      <c r="R37" s="6"/>
      <c r="S37" s="5" t="n">
        <f aca="false">COUNT(G37,I37,K37,M37,O37,Q37)</f>
        <v>0</v>
      </c>
      <c r="T37" s="8" t="str">
        <f aca="false">IF(S37=0,"",MIN(G37,I37,K37,M37,O37,Q37))</f>
        <v/>
      </c>
      <c r="U37" s="9" t="str">
        <f aca="false">IF(S37=0,"No quote",LEFT(IF(AND(ISNUMBER(G37),G37=T37),"Ahsan, ","")&amp;IF(AND(ISNUMBER(I37),I37=T37),"Aslam, ","")&amp;IF(AND(ISNUMBER(K37),K37=T37),"Jamil, ","")&amp;IF(AND(ISNUMBER(M37),M37=T37),"Muller, ","")&amp;IF(AND(ISNUMBER(O37),O37=T37),"NMMC, ","")&amp;IF(AND(ISNUMBER(Q37),Q37=T37),"Platinum, ",""),LEN(IF(AND(ISNUMBER(G37),G37=T37),"Ahsan, ","")&amp;IF(AND(ISNUMBER(I37),I37=T37),"Aslam, ","")&amp;IF(AND(ISNUMBER(K37),K37=T37),"Jamil, ","")&amp;IF(AND(ISNUMBER(M37),M37=T37),"Muller, ","")&amp;IF(AND(ISNUMBER(O37),O37=T37),"NMMC, ","")&amp;IF(AND(ISNUMBER(Q37),Q37=T37),"Platinum, ",""))-2))</f>
        <v>No quote</v>
      </c>
      <c r="V37" s="10" t="str">
        <f aca="false">IF(S37=0,"",T37*F37)</f>
        <v/>
      </c>
      <c r="W37" s="6"/>
    </row>
    <row r="38" customFormat="false" ht="79.85" hidden="false" customHeight="false" outlineLevel="0" collapsed="false">
      <c r="A38" s="5" t="n">
        <v>33</v>
      </c>
      <c r="B38" s="6" t="s">
        <v>177</v>
      </c>
      <c r="C38" s="6" t="s">
        <v>178</v>
      </c>
      <c r="D38" s="6" t="s">
        <v>179</v>
      </c>
      <c r="E38" s="5" t="s">
        <v>37</v>
      </c>
      <c r="F38" s="5" t="n">
        <v>50</v>
      </c>
      <c r="G38" s="7" t="n">
        <v>335.75</v>
      </c>
      <c r="H38" s="6" t="s">
        <v>100</v>
      </c>
      <c r="I38" s="7" t="n">
        <v>382.5</v>
      </c>
      <c r="J38" s="6" t="s">
        <v>46</v>
      </c>
      <c r="K38" s="7"/>
      <c r="L38" s="6"/>
      <c r="M38" s="7" t="n">
        <v>552.5</v>
      </c>
      <c r="N38" s="6" t="s">
        <v>180</v>
      </c>
      <c r="O38" s="7" t="n">
        <v>251.6</v>
      </c>
      <c r="P38" s="6" t="s">
        <v>181</v>
      </c>
      <c r="Q38" s="7"/>
      <c r="R38" s="6"/>
      <c r="S38" s="5" t="n">
        <f aca="false">COUNT(G38,I38,K38,M38,O38,Q38)</f>
        <v>4</v>
      </c>
      <c r="T38" s="8" t="n">
        <f aca="false">IF(S38=0,"",MIN(G38,I38,K38,M38,O38,Q38))</f>
        <v>251.6</v>
      </c>
      <c r="U38" s="9" t="str">
        <f aca="false">IF(S38=0,"No quote",LEFT(IF(AND(ISNUMBER(G38),G38=T38),"Ahsan, ","")&amp;IF(AND(ISNUMBER(I38),I38=T38),"Aslam, ","")&amp;IF(AND(ISNUMBER(K38),K38=T38),"Jamil, ","")&amp;IF(AND(ISNUMBER(M38),M38=T38),"Muller, ","")&amp;IF(AND(ISNUMBER(O38),O38=T38),"NMMC, ","")&amp;IF(AND(ISNUMBER(Q38),Q38=T38),"Platinum, ",""),LEN(IF(AND(ISNUMBER(G38),G38=T38),"Ahsan, ","")&amp;IF(AND(ISNUMBER(I38),I38=T38),"Aslam, ","")&amp;IF(AND(ISNUMBER(K38),K38=T38),"Jamil, ","")&amp;IF(AND(ISNUMBER(M38),M38=T38),"Muller, ","")&amp;IF(AND(ISNUMBER(O38),O38=T38),"NMMC, ","")&amp;IF(AND(ISNUMBER(Q38),Q38=T38),"Platinum, ",""))-2))</f>
        <v>NMMC</v>
      </c>
      <c r="V38" s="10" t="n">
        <f aca="false">IF(S38=0,"",T38*F38)</f>
        <v>12580</v>
      </c>
      <c r="W38" s="6"/>
    </row>
    <row r="39" customFormat="false" ht="35.05" hidden="false" customHeight="false" outlineLevel="0" collapsed="false">
      <c r="A39" s="5" t="n">
        <v>34</v>
      </c>
      <c r="B39" s="6" t="s">
        <v>182</v>
      </c>
      <c r="C39" s="6" t="s">
        <v>183</v>
      </c>
      <c r="D39" s="6" t="s">
        <v>184</v>
      </c>
      <c r="E39" s="5" t="s">
        <v>37</v>
      </c>
      <c r="F39" s="5" t="n">
        <v>500</v>
      </c>
      <c r="G39" s="7" t="n">
        <v>187</v>
      </c>
      <c r="H39" s="6" t="s">
        <v>185</v>
      </c>
      <c r="I39" s="7" t="n">
        <v>170</v>
      </c>
      <c r="J39" s="6" t="s">
        <v>71</v>
      </c>
      <c r="K39" s="7"/>
      <c r="L39" s="6"/>
      <c r="M39" s="7" t="n">
        <v>262.65</v>
      </c>
      <c r="N39" s="6" t="s">
        <v>186</v>
      </c>
      <c r="O39" s="7" t="n">
        <v>144.5</v>
      </c>
      <c r="P39" s="6" t="s">
        <v>187</v>
      </c>
      <c r="Q39" s="7"/>
      <c r="R39" s="6"/>
      <c r="S39" s="5" t="n">
        <f aca="false">COUNT(G39,I39,K39,M39,O39,Q39)</f>
        <v>4</v>
      </c>
      <c r="T39" s="8" t="n">
        <f aca="false">IF(S39=0,"",MIN(G39,I39,K39,M39,O39,Q39))</f>
        <v>144.5</v>
      </c>
      <c r="U39" s="9" t="str">
        <f aca="false">IF(S39=0,"No quote",LEFT(IF(AND(ISNUMBER(G39),G39=T39),"Ahsan, ","")&amp;IF(AND(ISNUMBER(I39),I39=T39),"Aslam, ","")&amp;IF(AND(ISNUMBER(K39),K39=T39),"Jamil, ","")&amp;IF(AND(ISNUMBER(M39),M39=T39),"Muller, ","")&amp;IF(AND(ISNUMBER(O39),O39=T39),"NMMC, ","")&amp;IF(AND(ISNUMBER(Q39),Q39=T39),"Platinum, ",""),LEN(IF(AND(ISNUMBER(G39),G39=T39),"Ahsan, ","")&amp;IF(AND(ISNUMBER(I39),I39=T39),"Aslam, ","")&amp;IF(AND(ISNUMBER(K39),K39=T39),"Jamil, ","")&amp;IF(AND(ISNUMBER(M39),M39=T39),"Muller, ","")&amp;IF(AND(ISNUMBER(O39),O39=T39),"NMMC, ","")&amp;IF(AND(ISNUMBER(Q39),Q39=T39),"Platinum, ",""))-2))</f>
        <v>NMMC</v>
      </c>
      <c r="V39" s="10" t="n">
        <f aca="false">IF(S39=0,"",T39*F39)</f>
        <v>72250</v>
      </c>
      <c r="W39" s="6"/>
    </row>
    <row r="40" customFormat="false" ht="23.85" hidden="false" customHeight="false" outlineLevel="0" collapsed="false">
      <c r="A40" s="5" t="n">
        <v>35</v>
      </c>
      <c r="B40" s="6" t="s">
        <v>188</v>
      </c>
      <c r="C40" s="6" t="s">
        <v>189</v>
      </c>
      <c r="D40" s="6" t="s">
        <v>190</v>
      </c>
      <c r="E40" s="5" t="s">
        <v>37</v>
      </c>
      <c r="F40" s="5" t="n">
        <v>50</v>
      </c>
      <c r="G40" s="7"/>
      <c r="H40" s="6"/>
      <c r="I40" s="7"/>
      <c r="J40" s="6"/>
      <c r="K40" s="7"/>
      <c r="L40" s="6"/>
      <c r="M40" s="7"/>
      <c r="N40" s="6"/>
      <c r="O40" s="7"/>
      <c r="P40" s="6"/>
      <c r="Q40" s="7"/>
      <c r="R40" s="6"/>
      <c r="S40" s="5" t="n">
        <f aca="false">COUNT(G40,I40,K40,M40,O40,Q40)</f>
        <v>0</v>
      </c>
      <c r="T40" s="8" t="str">
        <f aca="false">IF(S40=0,"",MIN(G40,I40,K40,M40,O40,Q40))</f>
        <v/>
      </c>
      <c r="U40" s="9" t="str">
        <f aca="false">IF(S40=0,"No quote",LEFT(IF(AND(ISNUMBER(G40),G40=T40),"Ahsan, ","")&amp;IF(AND(ISNUMBER(I40),I40=T40),"Aslam, ","")&amp;IF(AND(ISNUMBER(K40),K40=T40),"Jamil, ","")&amp;IF(AND(ISNUMBER(M40),M40=T40),"Muller, ","")&amp;IF(AND(ISNUMBER(O40),O40=T40),"NMMC, ","")&amp;IF(AND(ISNUMBER(Q40),Q40=T40),"Platinum, ",""),LEN(IF(AND(ISNUMBER(G40),G40=T40),"Ahsan, ","")&amp;IF(AND(ISNUMBER(I40),I40=T40),"Aslam, ","")&amp;IF(AND(ISNUMBER(K40),K40=T40),"Jamil, ","")&amp;IF(AND(ISNUMBER(M40),M40=T40),"Muller, ","")&amp;IF(AND(ISNUMBER(O40),O40=T40),"NMMC, ","")&amp;IF(AND(ISNUMBER(Q40),Q40=T40),"Platinum, ",""))-2))</f>
        <v>No quote</v>
      </c>
      <c r="V40" s="10" t="str">
        <f aca="false">IF(S40=0,"",T40*F40)</f>
        <v/>
      </c>
      <c r="W40" s="6"/>
    </row>
    <row r="41" customFormat="false" ht="23.85" hidden="false" customHeight="false" outlineLevel="0" collapsed="false">
      <c r="A41" s="5" t="n">
        <v>36</v>
      </c>
      <c r="B41" s="6" t="s">
        <v>191</v>
      </c>
      <c r="C41" s="6" t="s">
        <v>192</v>
      </c>
      <c r="D41" s="6" t="s">
        <v>193</v>
      </c>
      <c r="E41" s="5" t="s">
        <v>37</v>
      </c>
      <c r="F41" s="5" t="n">
        <v>100</v>
      </c>
      <c r="G41" s="7"/>
      <c r="H41" s="6"/>
      <c r="I41" s="7"/>
      <c r="J41" s="6"/>
      <c r="K41" s="7"/>
      <c r="L41" s="6"/>
      <c r="M41" s="7"/>
      <c r="N41" s="6"/>
      <c r="O41" s="7" t="n">
        <v>493</v>
      </c>
      <c r="P41" s="6" t="s">
        <v>194</v>
      </c>
      <c r="Q41" s="7"/>
      <c r="R41" s="6"/>
      <c r="S41" s="5" t="n">
        <f aca="false">COUNT(G41,I41,K41,M41,O41,Q41)</f>
        <v>1</v>
      </c>
      <c r="T41" s="8" t="n">
        <f aca="false">IF(S41=0,"",MIN(G41,I41,K41,M41,O41,Q41))</f>
        <v>493</v>
      </c>
      <c r="U41" s="9" t="str">
        <f aca="false">IF(S41=0,"No quote",LEFT(IF(AND(ISNUMBER(G41),G41=T41),"Ahsan, ","")&amp;IF(AND(ISNUMBER(I41),I41=T41),"Aslam, ","")&amp;IF(AND(ISNUMBER(K41),K41=T41),"Jamil, ","")&amp;IF(AND(ISNUMBER(M41),M41=T41),"Muller, ","")&amp;IF(AND(ISNUMBER(O41),O41=T41),"NMMC, ","")&amp;IF(AND(ISNUMBER(Q41),Q41=T41),"Platinum, ",""),LEN(IF(AND(ISNUMBER(G41),G41=T41),"Ahsan, ","")&amp;IF(AND(ISNUMBER(I41),I41=T41),"Aslam, ","")&amp;IF(AND(ISNUMBER(K41),K41=T41),"Jamil, ","")&amp;IF(AND(ISNUMBER(M41),M41=T41),"Muller, ","")&amp;IF(AND(ISNUMBER(O41),O41=T41),"NMMC, ","")&amp;IF(AND(ISNUMBER(Q41),Q41=T41),"Platinum, ",""))-2))</f>
        <v>NMMC</v>
      </c>
      <c r="V41" s="10" t="n">
        <f aca="false">IF(S41=0,"",T41*F41)</f>
        <v>49300</v>
      </c>
      <c r="W41" s="6"/>
    </row>
    <row r="42" customFormat="false" ht="35.05" hidden="false" customHeight="false" outlineLevel="0" collapsed="false">
      <c r="A42" s="5" t="n">
        <v>37</v>
      </c>
      <c r="B42" s="6" t="s">
        <v>195</v>
      </c>
      <c r="C42" s="6" t="s">
        <v>196</v>
      </c>
      <c r="D42" s="6" t="s">
        <v>197</v>
      </c>
      <c r="E42" s="5" t="s">
        <v>37</v>
      </c>
      <c r="F42" s="5" t="n">
        <v>250</v>
      </c>
      <c r="G42" s="7" t="n">
        <v>197.93</v>
      </c>
      <c r="H42" s="6" t="s">
        <v>198</v>
      </c>
      <c r="I42" s="7" t="n">
        <v>197.93</v>
      </c>
      <c r="J42" s="6" t="s">
        <v>39</v>
      </c>
      <c r="K42" s="7" t="n">
        <v>502.77</v>
      </c>
      <c r="L42" s="6" t="s">
        <v>199</v>
      </c>
      <c r="M42" s="7" t="n">
        <v>197.93</v>
      </c>
      <c r="N42" s="6" t="s">
        <v>200</v>
      </c>
      <c r="O42" s="7"/>
      <c r="P42" s="6"/>
      <c r="Q42" s="7"/>
      <c r="R42" s="6"/>
      <c r="S42" s="5" t="n">
        <f aca="false">COUNT(G42,I42,K42,M42,O42,Q42)</f>
        <v>4</v>
      </c>
      <c r="T42" s="8" t="n">
        <f aca="false">IF(S42=0,"",MIN(G42,I42,K42,M42,O42,Q42))</f>
        <v>197.93</v>
      </c>
      <c r="U42" s="9" t="str">
        <f aca="false">IF(S42=0,"No quote",LEFT(IF(AND(ISNUMBER(G42),G42=T42),"Ahsan, ","")&amp;IF(AND(ISNUMBER(I42),I42=T42),"Aslam, ","")&amp;IF(AND(ISNUMBER(K42),K42=T42),"Jamil, ","")&amp;IF(AND(ISNUMBER(M42),M42=T42),"Muller, ","")&amp;IF(AND(ISNUMBER(O42),O42=T42),"NMMC, ","")&amp;IF(AND(ISNUMBER(Q42),Q42=T42),"Platinum, ",""),LEN(IF(AND(ISNUMBER(G42),G42=T42),"Ahsan, ","")&amp;IF(AND(ISNUMBER(I42),I42=T42),"Aslam, ","")&amp;IF(AND(ISNUMBER(K42),K42=T42),"Jamil, ","")&amp;IF(AND(ISNUMBER(M42),M42=T42),"Muller, ","")&amp;IF(AND(ISNUMBER(O42),O42=T42),"NMMC, ","")&amp;IF(AND(ISNUMBER(Q42),Q42=T42),"Platinum, ",""))-2))</f>
        <v>Ahsan, Aslam, Muller</v>
      </c>
      <c r="V42" s="10" t="n">
        <f aca="false">IF(S42=0,"",T42*F42)</f>
        <v>49482.5</v>
      </c>
      <c r="W42" s="6" t="s">
        <v>201</v>
      </c>
    </row>
    <row r="43" customFormat="false" ht="35.05" hidden="false" customHeight="false" outlineLevel="0" collapsed="false">
      <c r="A43" s="5" t="n">
        <v>38</v>
      </c>
      <c r="B43" s="6" t="s">
        <v>202</v>
      </c>
      <c r="C43" s="6" t="s">
        <v>203</v>
      </c>
      <c r="D43" s="6" t="s">
        <v>204</v>
      </c>
      <c r="E43" s="5" t="s">
        <v>37</v>
      </c>
      <c r="F43" s="5" t="n">
        <v>250</v>
      </c>
      <c r="G43" s="7" t="n">
        <v>250.46</v>
      </c>
      <c r="H43" s="6" t="s">
        <v>198</v>
      </c>
      <c r="I43" s="7" t="n">
        <v>250.46</v>
      </c>
      <c r="J43" s="6" t="s">
        <v>39</v>
      </c>
      <c r="K43" s="7" t="n">
        <v>622.95</v>
      </c>
      <c r="L43" s="6" t="s">
        <v>205</v>
      </c>
      <c r="M43" s="7" t="n">
        <v>250.5</v>
      </c>
      <c r="N43" s="6" t="s">
        <v>200</v>
      </c>
      <c r="O43" s="7"/>
      <c r="P43" s="6"/>
      <c r="Q43" s="7"/>
      <c r="R43" s="6"/>
      <c r="S43" s="5" t="n">
        <f aca="false">COUNT(G43,I43,K43,M43,O43,Q43)</f>
        <v>4</v>
      </c>
      <c r="T43" s="8" t="n">
        <f aca="false">IF(S43=0,"",MIN(G43,I43,K43,M43,O43,Q43))</f>
        <v>250.46</v>
      </c>
      <c r="U43" s="9" t="str">
        <f aca="false">IF(S43=0,"No quote",LEFT(IF(AND(ISNUMBER(G43),G43=T43),"Ahsan, ","")&amp;IF(AND(ISNUMBER(I43),I43=T43),"Aslam, ","")&amp;IF(AND(ISNUMBER(K43),K43=T43),"Jamil, ","")&amp;IF(AND(ISNUMBER(M43),M43=T43),"Muller, ","")&amp;IF(AND(ISNUMBER(O43),O43=T43),"NMMC, ","")&amp;IF(AND(ISNUMBER(Q43),Q43=T43),"Platinum, ",""),LEN(IF(AND(ISNUMBER(G43),G43=T43),"Ahsan, ","")&amp;IF(AND(ISNUMBER(I43),I43=T43),"Aslam, ","")&amp;IF(AND(ISNUMBER(K43),K43=T43),"Jamil, ","")&amp;IF(AND(ISNUMBER(M43),M43=T43),"Muller, ","")&amp;IF(AND(ISNUMBER(O43),O43=T43),"NMMC, ","")&amp;IF(AND(ISNUMBER(Q43),Q43=T43),"Platinum, ",""))-2))</f>
        <v>Ahsan, Aslam</v>
      </c>
      <c r="V43" s="10" t="n">
        <f aca="false">IF(S43=0,"",T43*F43)</f>
        <v>62615</v>
      </c>
      <c r="W43" s="6" t="s">
        <v>201</v>
      </c>
    </row>
    <row r="44" customFormat="false" ht="35.05" hidden="false" customHeight="false" outlineLevel="0" collapsed="false">
      <c r="A44" s="5" t="n">
        <v>39</v>
      </c>
      <c r="B44" s="6" t="s">
        <v>206</v>
      </c>
      <c r="C44" s="6" t="s">
        <v>207</v>
      </c>
      <c r="D44" s="6" t="s">
        <v>208</v>
      </c>
      <c r="E44" s="5" t="s">
        <v>37</v>
      </c>
      <c r="F44" s="5" t="n">
        <v>100</v>
      </c>
      <c r="G44" s="7"/>
      <c r="H44" s="6"/>
      <c r="I44" s="7"/>
      <c r="J44" s="6"/>
      <c r="K44" s="7"/>
      <c r="L44" s="6"/>
      <c r="M44" s="7" t="n">
        <v>361.25</v>
      </c>
      <c r="N44" s="6" t="s">
        <v>209</v>
      </c>
      <c r="O44" s="7" t="n">
        <v>257.04</v>
      </c>
      <c r="P44" s="6" t="s">
        <v>210</v>
      </c>
      <c r="Q44" s="7"/>
      <c r="R44" s="6"/>
      <c r="S44" s="5" t="n">
        <f aca="false">COUNT(G44,I44,K44,M44,O44,Q44)</f>
        <v>2</v>
      </c>
      <c r="T44" s="8" t="n">
        <f aca="false">IF(S44=0,"",MIN(G44,I44,K44,M44,O44,Q44))</f>
        <v>257.04</v>
      </c>
      <c r="U44" s="9" t="str">
        <f aca="false">IF(S44=0,"No quote",LEFT(IF(AND(ISNUMBER(G44),G44=T44),"Ahsan, ","")&amp;IF(AND(ISNUMBER(I44),I44=T44),"Aslam, ","")&amp;IF(AND(ISNUMBER(K44),K44=T44),"Jamil, ","")&amp;IF(AND(ISNUMBER(M44),M44=T44),"Muller, ","")&amp;IF(AND(ISNUMBER(O44),O44=T44),"NMMC, ","")&amp;IF(AND(ISNUMBER(Q44),Q44=T44),"Platinum, ",""),LEN(IF(AND(ISNUMBER(G44),G44=T44),"Ahsan, ","")&amp;IF(AND(ISNUMBER(I44),I44=T44),"Aslam, ","")&amp;IF(AND(ISNUMBER(K44),K44=T44),"Jamil, ","")&amp;IF(AND(ISNUMBER(M44),M44=T44),"Muller, ","")&amp;IF(AND(ISNUMBER(O44),O44=T44),"NMMC, ","")&amp;IF(AND(ISNUMBER(Q44),Q44=T44),"Platinum, ",""))-2))</f>
        <v>NMMC</v>
      </c>
      <c r="V44" s="10" t="n">
        <f aca="false">IF(S44=0,"",T44*F44)</f>
        <v>25704</v>
      </c>
      <c r="W44" s="6"/>
    </row>
    <row r="45" customFormat="false" ht="23.85" hidden="false" customHeight="false" outlineLevel="0" collapsed="false">
      <c r="A45" s="5" t="n">
        <v>40</v>
      </c>
      <c r="B45" s="6" t="s">
        <v>211</v>
      </c>
      <c r="C45" s="6" t="s">
        <v>212</v>
      </c>
      <c r="D45" s="6" t="s">
        <v>213</v>
      </c>
      <c r="E45" s="5" t="s">
        <v>37</v>
      </c>
      <c r="F45" s="5" t="n">
        <v>50</v>
      </c>
      <c r="G45" s="7"/>
      <c r="H45" s="6"/>
      <c r="I45" s="7"/>
      <c r="J45" s="6"/>
      <c r="K45" s="7" t="n">
        <v>363.38</v>
      </c>
      <c r="L45" s="6" t="s">
        <v>214</v>
      </c>
      <c r="M45" s="7"/>
      <c r="N45" s="6"/>
      <c r="O45" s="7"/>
      <c r="P45" s="6"/>
      <c r="Q45" s="7" t="n">
        <v>290.32</v>
      </c>
      <c r="R45" s="6" t="s">
        <v>215</v>
      </c>
      <c r="S45" s="5" t="n">
        <f aca="false">COUNT(G45,I45,K45,M45,O45,Q45)</f>
        <v>2</v>
      </c>
      <c r="T45" s="8" t="n">
        <f aca="false">IF(S45=0,"",MIN(G45,I45,K45,M45,O45,Q45))</f>
        <v>290.32</v>
      </c>
      <c r="U45" s="9" t="str">
        <f aca="false">IF(S45=0,"No quote",LEFT(IF(AND(ISNUMBER(G45),G45=T45),"Ahsan, ","")&amp;IF(AND(ISNUMBER(I45),I45=T45),"Aslam, ","")&amp;IF(AND(ISNUMBER(K45),K45=T45),"Jamil, ","")&amp;IF(AND(ISNUMBER(M45),M45=T45),"Muller, ","")&amp;IF(AND(ISNUMBER(O45),O45=T45),"NMMC, ","")&amp;IF(AND(ISNUMBER(Q45),Q45=T45),"Platinum, ",""),LEN(IF(AND(ISNUMBER(G45),G45=T45),"Ahsan, ","")&amp;IF(AND(ISNUMBER(I45),I45=T45),"Aslam, ","")&amp;IF(AND(ISNUMBER(K45),K45=T45),"Jamil, ","")&amp;IF(AND(ISNUMBER(M45),M45=T45),"Muller, ","")&amp;IF(AND(ISNUMBER(O45),O45=T45),"NMMC, ","")&amp;IF(AND(ISNUMBER(Q45),Q45=T45),"Platinum, ",""))-2))</f>
        <v>Platinum</v>
      </c>
      <c r="V45" s="10" t="n">
        <f aca="false">IF(S45=0,"",T45*F45)</f>
        <v>14516</v>
      </c>
      <c r="W45" s="6"/>
    </row>
    <row r="46" customFormat="false" ht="35.05" hidden="false" customHeight="false" outlineLevel="0" collapsed="false">
      <c r="A46" s="5" t="n">
        <v>41</v>
      </c>
      <c r="B46" s="6" t="s">
        <v>216</v>
      </c>
      <c r="C46" s="6" t="s">
        <v>217</v>
      </c>
      <c r="D46" s="6" t="s">
        <v>218</v>
      </c>
      <c r="E46" s="5" t="s">
        <v>24</v>
      </c>
      <c r="F46" s="5" t="n">
        <v>80</v>
      </c>
      <c r="G46" s="7"/>
      <c r="H46" s="6"/>
      <c r="I46" s="7"/>
      <c r="J46" s="6"/>
      <c r="K46" s="7"/>
      <c r="L46" s="6"/>
      <c r="M46" s="7"/>
      <c r="N46" s="6"/>
      <c r="O46" s="7"/>
      <c r="P46" s="6"/>
      <c r="Q46" s="7"/>
      <c r="R46" s="6"/>
      <c r="S46" s="5" t="n">
        <f aca="false">COUNT(G46,I46,K46,M46,O46,Q46)</f>
        <v>0</v>
      </c>
      <c r="T46" s="8" t="str">
        <f aca="false">IF(S46=0,"",MIN(G46,I46,K46,M46,O46,Q46))</f>
        <v/>
      </c>
      <c r="U46" s="9" t="str">
        <f aca="false">IF(S46=0,"No quote",LEFT(IF(AND(ISNUMBER(G46),G46=T46),"Ahsan, ","")&amp;IF(AND(ISNUMBER(I46),I46=T46),"Aslam, ","")&amp;IF(AND(ISNUMBER(K46),K46=T46),"Jamil, ","")&amp;IF(AND(ISNUMBER(M46),M46=T46),"Muller, ","")&amp;IF(AND(ISNUMBER(O46),O46=T46),"NMMC, ","")&amp;IF(AND(ISNUMBER(Q46),Q46=T46),"Platinum, ",""),LEN(IF(AND(ISNUMBER(G46),G46=T46),"Ahsan, ","")&amp;IF(AND(ISNUMBER(I46),I46=T46),"Aslam, ","")&amp;IF(AND(ISNUMBER(K46),K46=T46),"Jamil, ","")&amp;IF(AND(ISNUMBER(M46),M46=T46),"Muller, ","")&amp;IF(AND(ISNUMBER(O46),O46=T46),"NMMC, ","")&amp;IF(AND(ISNUMBER(Q46),Q46=T46),"Platinum, ",""))-2))</f>
        <v>No quote</v>
      </c>
      <c r="V46" s="10" t="str">
        <f aca="false">IF(S46=0,"",T46*F46)</f>
        <v/>
      </c>
      <c r="W46" s="6"/>
    </row>
    <row r="47" customFormat="false" ht="46.25" hidden="false" customHeight="false" outlineLevel="0" collapsed="false">
      <c r="A47" s="5" t="n">
        <v>42</v>
      </c>
      <c r="B47" s="6" t="s">
        <v>219</v>
      </c>
      <c r="C47" s="6" t="s">
        <v>220</v>
      </c>
      <c r="D47" s="6" t="s">
        <v>221</v>
      </c>
      <c r="E47" s="5" t="s">
        <v>37</v>
      </c>
      <c r="F47" s="5" t="n">
        <v>600</v>
      </c>
      <c r="G47" s="7" t="n">
        <v>187</v>
      </c>
      <c r="H47" s="6" t="s">
        <v>222</v>
      </c>
      <c r="I47" s="7"/>
      <c r="J47" s="6"/>
      <c r="K47" s="7" t="n">
        <v>142.8</v>
      </c>
      <c r="L47" s="6" t="s">
        <v>223</v>
      </c>
      <c r="M47" s="7" t="n">
        <v>697</v>
      </c>
      <c r="N47" s="6" t="s">
        <v>224</v>
      </c>
      <c r="O47" s="7" t="n">
        <v>122.655</v>
      </c>
      <c r="P47" s="6" t="s">
        <v>225</v>
      </c>
      <c r="Q47" s="7"/>
      <c r="R47" s="6"/>
      <c r="S47" s="5" t="n">
        <f aca="false">COUNT(G47,I47,K47,M47,O47,Q47)</f>
        <v>4</v>
      </c>
      <c r="T47" s="8" t="n">
        <f aca="false">IF(S47=0,"",MIN(G47,I47,K47,M47,O47,Q47))</f>
        <v>122.655</v>
      </c>
      <c r="U47" s="9" t="str">
        <f aca="false">IF(S47=0,"No quote",LEFT(IF(AND(ISNUMBER(G47),G47=T47),"Ahsan, ","")&amp;IF(AND(ISNUMBER(I47),I47=T47),"Aslam, ","")&amp;IF(AND(ISNUMBER(K47),K47=T47),"Jamil, ","")&amp;IF(AND(ISNUMBER(M47),M47=T47),"Muller, ","")&amp;IF(AND(ISNUMBER(O47),O47=T47),"NMMC, ","")&amp;IF(AND(ISNUMBER(Q47),Q47=T47),"Platinum, ",""),LEN(IF(AND(ISNUMBER(G47),G47=T47),"Ahsan, ","")&amp;IF(AND(ISNUMBER(I47),I47=T47),"Aslam, ","")&amp;IF(AND(ISNUMBER(K47),K47=T47),"Jamil, ","")&amp;IF(AND(ISNUMBER(M47),M47=T47),"Muller, ","")&amp;IF(AND(ISNUMBER(O47),O47=T47),"NMMC, ","")&amp;IF(AND(ISNUMBER(Q47),Q47=T47),"Platinum, ",""))-2))</f>
        <v>NMMC</v>
      </c>
      <c r="V47" s="10" t="n">
        <f aca="false">IF(S47=0,"",T47*F47)</f>
        <v>73593</v>
      </c>
      <c r="W47" s="6"/>
    </row>
    <row r="48" customFormat="false" ht="23.85" hidden="false" customHeight="false" outlineLevel="0" collapsed="false">
      <c r="A48" s="5" t="n">
        <v>43</v>
      </c>
      <c r="B48" s="6" t="s">
        <v>226</v>
      </c>
      <c r="C48" s="6" t="s">
        <v>227</v>
      </c>
      <c r="D48" s="6" t="s">
        <v>228</v>
      </c>
      <c r="E48" s="5" t="s">
        <v>37</v>
      </c>
      <c r="F48" s="5" t="n">
        <v>50</v>
      </c>
      <c r="G48" s="7"/>
      <c r="H48" s="6"/>
      <c r="I48" s="7" t="n">
        <v>265.31</v>
      </c>
      <c r="J48" s="6" t="s">
        <v>229</v>
      </c>
      <c r="K48" s="7"/>
      <c r="L48" s="6"/>
      <c r="M48" s="7"/>
      <c r="N48" s="6"/>
      <c r="O48" s="7" t="n">
        <v>69.66</v>
      </c>
      <c r="P48" s="6" t="s">
        <v>230</v>
      </c>
      <c r="Q48" s="7"/>
      <c r="R48" s="6"/>
      <c r="S48" s="5" t="n">
        <f aca="false">COUNT(G48,I48,K48,M48,O48,Q48)</f>
        <v>2</v>
      </c>
      <c r="T48" s="8" t="n">
        <f aca="false">IF(S48=0,"",MIN(G48,I48,K48,M48,O48,Q48))</f>
        <v>69.66</v>
      </c>
      <c r="U48" s="9" t="str">
        <f aca="false">IF(S48=0,"No quote",LEFT(IF(AND(ISNUMBER(G48),G48=T48),"Ahsan, ","")&amp;IF(AND(ISNUMBER(I48),I48=T48),"Aslam, ","")&amp;IF(AND(ISNUMBER(K48),K48=T48),"Jamil, ","")&amp;IF(AND(ISNUMBER(M48),M48=T48),"Muller, ","")&amp;IF(AND(ISNUMBER(O48),O48=T48),"NMMC, ","")&amp;IF(AND(ISNUMBER(Q48),Q48=T48),"Platinum, ",""),LEN(IF(AND(ISNUMBER(G48),G48=T48),"Ahsan, ","")&amp;IF(AND(ISNUMBER(I48),I48=T48),"Aslam, ","")&amp;IF(AND(ISNUMBER(K48),K48=T48),"Jamil, ","")&amp;IF(AND(ISNUMBER(M48),M48=T48),"Muller, ","")&amp;IF(AND(ISNUMBER(O48),O48=T48),"NMMC, ","")&amp;IF(AND(ISNUMBER(Q48),Q48=T48),"Platinum, ",""))-2))</f>
        <v>NMMC</v>
      </c>
      <c r="V48" s="10" t="n">
        <f aca="false">IF(S48=0,"",T48*F48)</f>
        <v>3483</v>
      </c>
      <c r="W48" s="6"/>
    </row>
    <row r="49" customFormat="false" ht="23.85" hidden="false" customHeight="false" outlineLevel="0" collapsed="false">
      <c r="A49" s="5" t="n">
        <v>44</v>
      </c>
      <c r="B49" s="6" t="s">
        <v>231</v>
      </c>
      <c r="C49" s="6" t="s">
        <v>232</v>
      </c>
      <c r="D49" s="6" t="s">
        <v>233</v>
      </c>
      <c r="E49" s="5" t="s">
        <v>37</v>
      </c>
      <c r="F49" s="5" t="n">
        <v>500</v>
      </c>
      <c r="G49" s="7" t="n">
        <v>191.25</v>
      </c>
      <c r="H49" s="6" t="s">
        <v>234</v>
      </c>
      <c r="I49" s="7"/>
      <c r="J49" s="6"/>
      <c r="K49" s="7"/>
      <c r="L49" s="6"/>
      <c r="M49" s="7" t="n">
        <v>205.7</v>
      </c>
      <c r="N49" s="6" t="s">
        <v>235</v>
      </c>
      <c r="O49" s="7" t="n">
        <v>245.1287</v>
      </c>
      <c r="P49" s="6" t="s">
        <v>236</v>
      </c>
      <c r="Q49" s="7"/>
      <c r="R49" s="6"/>
      <c r="S49" s="5" t="n">
        <f aca="false">COUNT(G49,I49,K49,M49,O49,Q49)</f>
        <v>3</v>
      </c>
      <c r="T49" s="8" t="n">
        <f aca="false">IF(S49=0,"",MIN(G49,I49,K49,M49,O49,Q49))</f>
        <v>191.25</v>
      </c>
      <c r="U49" s="9" t="str">
        <f aca="false">IF(S49=0,"No quote",LEFT(IF(AND(ISNUMBER(G49),G49=T49),"Ahsan, ","")&amp;IF(AND(ISNUMBER(I49),I49=T49),"Aslam, ","")&amp;IF(AND(ISNUMBER(K49),K49=T49),"Jamil, ","")&amp;IF(AND(ISNUMBER(M49),M49=T49),"Muller, ","")&amp;IF(AND(ISNUMBER(O49),O49=T49),"NMMC, ","")&amp;IF(AND(ISNUMBER(Q49),Q49=T49),"Platinum, ",""),LEN(IF(AND(ISNUMBER(G49),G49=T49),"Ahsan, ","")&amp;IF(AND(ISNUMBER(I49),I49=T49),"Aslam, ","")&amp;IF(AND(ISNUMBER(K49),K49=T49),"Jamil, ","")&amp;IF(AND(ISNUMBER(M49),M49=T49),"Muller, ","")&amp;IF(AND(ISNUMBER(O49),O49=T49),"NMMC, ","")&amp;IF(AND(ISNUMBER(Q49),Q49=T49),"Platinum, ",""))-2))</f>
        <v>Ahsan</v>
      </c>
      <c r="V49" s="10" t="n">
        <f aca="false">IF(S49=0,"",T49*F49)</f>
        <v>95625</v>
      </c>
      <c r="W49" s="6"/>
    </row>
    <row r="50" customFormat="false" ht="23.85" hidden="false" customHeight="false" outlineLevel="0" collapsed="false">
      <c r="A50" s="5" t="n">
        <v>45</v>
      </c>
      <c r="B50" s="6" t="s">
        <v>237</v>
      </c>
      <c r="C50" s="6" t="s">
        <v>238</v>
      </c>
      <c r="D50" s="6" t="s">
        <v>239</v>
      </c>
      <c r="E50" s="5" t="s">
        <v>24</v>
      </c>
      <c r="F50" s="5" t="n">
        <v>50</v>
      </c>
      <c r="G50" s="7"/>
      <c r="H50" s="6"/>
      <c r="I50" s="7"/>
      <c r="J50" s="6"/>
      <c r="K50" s="7"/>
      <c r="L50" s="6"/>
      <c r="M50" s="7"/>
      <c r="N50" s="6"/>
      <c r="O50" s="7" t="n">
        <v>93.925</v>
      </c>
      <c r="P50" s="6" t="s">
        <v>240</v>
      </c>
      <c r="Q50" s="7"/>
      <c r="R50" s="6"/>
      <c r="S50" s="5" t="n">
        <f aca="false">COUNT(G50,I50,K50,M50,O50,Q50)</f>
        <v>1</v>
      </c>
      <c r="T50" s="8" t="n">
        <f aca="false">IF(S50=0,"",MIN(G50,I50,K50,M50,O50,Q50))</f>
        <v>93.925</v>
      </c>
      <c r="U50" s="9" t="str">
        <f aca="false">IF(S50=0,"No quote",LEFT(IF(AND(ISNUMBER(G50),G50=T50),"Ahsan, ","")&amp;IF(AND(ISNUMBER(I50),I50=T50),"Aslam, ","")&amp;IF(AND(ISNUMBER(K50),K50=T50),"Jamil, ","")&amp;IF(AND(ISNUMBER(M50),M50=T50),"Muller, ","")&amp;IF(AND(ISNUMBER(O50),O50=T50),"NMMC, ","")&amp;IF(AND(ISNUMBER(Q50),Q50=T50),"Platinum, ",""),LEN(IF(AND(ISNUMBER(G50),G50=T50),"Ahsan, ","")&amp;IF(AND(ISNUMBER(I50),I50=T50),"Aslam, ","")&amp;IF(AND(ISNUMBER(K50),K50=T50),"Jamil, ","")&amp;IF(AND(ISNUMBER(M50),M50=T50),"Muller, ","")&amp;IF(AND(ISNUMBER(O50),O50=T50),"NMMC, ","")&amp;IF(AND(ISNUMBER(Q50),Q50=T50),"Platinum, ",""))-2))</f>
        <v>NMMC</v>
      </c>
      <c r="V50" s="10" t="n">
        <f aca="false">IF(S50=0,"",T50*F50)</f>
        <v>4696.25</v>
      </c>
      <c r="W50" s="6"/>
    </row>
    <row r="51" customFormat="false" ht="35.05" hidden="false" customHeight="false" outlineLevel="0" collapsed="false">
      <c r="A51" s="5" t="n">
        <v>46</v>
      </c>
      <c r="B51" s="6" t="s">
        <v>241</v>
      </c>
      <c r="C51" s="6" t="s">
        <v>242</v>
      </c>
      <c r="D51" s="6" t="s">
        <v>243</v>
      </c>
      <c r="E51" s="5" t="s">
        <v>37</v>
      </c>
      <c r="F51" s="5" t="n">
        <v>150</v>
      </c>
      <c r="G51" s="7"/>
      <c r="H51" s="6"/>
      <c r="I51" s="7" t="n">
        <v>214.2</v>
      </c>
      <c r="J51" s="6" t="s">
        <v>71</v>
      </c>
      <c r="K51" s="7"/>
      <c r="L51" s="6"/>
      <c r="M51" s="7" t="n">
        <v>165.5</v>
      </c>
      <c r="N51" s="6" t="s">
        <v>244</v>
      </c>
      <c r="O51" s="7" t="n">
        <v>203.49</v>
      </c>
      <c r="P51" s="6" t="s">
        <v>245</v>
      </c>
      <c r="Q51" s="7"/>
      <c r="R51" s="6"/>
      <c r="S51" s="5" t="n">
        <f aca="false">COUNT(G51,I51,K51,M51,O51,Q51)</f>
        <v>3</v>
      </c>
      <c r="T51" s="8" t="n">
        <f aca="false">IF(S51=0,"",MIN(G51,I51,K51,M51,O51,Q51))</f>
        <v>165.5</v>
      </c>
      <c r="U51" s="9" t="str">
        <f aca="false">IF(S51=0,"No quote",LEFT(IF(AND(ISNUMBER(G51),G51=T51),"Ahsan, ","")&amp;IF(AND(ISNUMBER(I51),I51=T51),"Aslam, ","")&amp;IF(AND(ISNUMBER(K51),K51=T51),"Jamil, ","")&amp;IF(AND(ISNUMBER(M51),M51=T51),"Muller, ","")&amp;IF(AND(ISNUMBER(O51),O51=T51),"NMMC, ","")&amp;IF(AND(ISNUMBER(Q51),Q51=T51),"Platinum, ",""),LEN(IF(AND(ISNUMBER(G51),G51=T51),"Ahsan, ","")&amp;IF(AND(ISNUMBER(I51),I51=T51),"Aslam, ","")&amp;IF(AND(ISNUMBER(K51),K51=T51),"Jamil, ","")&amp;IF(AND(ISNUMBER(M51),M51=T51),"Muller, ","")&amp;IF(AND(ISNUMBER(O51),O51=T51),"NMMC, ","")&amp;IF(AND(ISNUMBER(Q51),Q51=T51),"Platinum, ",""))-2))</f>
        <v>Muller</v>
      </c>
      <c r="V51" s="10" t="n">
        <f aca="false">IF(S51=0,"",T51*F51)</f>
        <v>24825</v>
      </c>
      <c r="W51" s="6"/>
    </row>
    <row r="52" customFormat="false" ht="15" hidden="false" customHeight="false" outlineLevel="0" collapsed="false">
      <c r="A52" s="5" t="n">
        <v>47</v>
      </c>
      <c r="B52" s="6" t="s">
        <v>246</v>
      </c>
      <c r="C52" s="6" t="s">
        <v>247</v>
      </c>
      <c r="D52" s="6" t="s">
        <v>248</v>
      </c>
      <c r="E52" s="5" t="s">
        <v>37</v>
      </c>
      <c r="F52" s="5" t="n">
        <v>750</v>
      </c>
      <c r="G52" s="7"/>
      <c r="H52" s="6"/>
      <c r="I52" s="7"/>
      <c r="J52" s="6"/>
      <c r="K52" s="7"/>
      <c r="L52" s="6"/>
      <c r="M52" s="7"/>
      <c r="N52" s="6"/>
      <c r="O52" s="7" t="n">
        <v>411.04</v>
      </c>
      <c r="P52" s="6" t="s">
        <v>249</v>
      </c>
      <c r="Q52" s="7"/>
      <c r="R52" s="6"/>
      <c r="S52" s="5" t="n">
        <f aca="false">COUNT(G52,I52,K52,M52,O52,Q52)</f>
        <v>1</v>
      </c>
      <c r="T52" s="8" t="n">
        <f aca="false">IF(S52=0,"",MIN(G52,I52,K52,M52,O52,Q52))</f>
        <v>411.04</v>
      </c>
      <c r="U52" s="9" t="str">
        <f aca="false">IF(S52=0,"No quote",LEFT(IF(AND(ISNUMBER(G52),G52=T52),"Ahsan, ","")&amp;IF(AND(ISNUMBER(I52),I52=T52),"Aslam, ","")&amp;IF(AND(ISNUMBER(K52),K52=T52),"Jamil, ","")&amp;IF(AND(ISNUMBER(M52),M52=T52),"Muller, ","")&amp;IF(AND(ISNUMBER(O52),O52=T52),"NMMC, ","")&amp;IF(AND(ISNUMBER(Q52),Q52=T52),"Platinum, ",""),LEN(IF(AND(ISNUMBER(G52),G52=T52),"Ahsan, ","")&amp;IF(AND(ISNUMBER(I52),I52=T52),"Aslam, ","")&amp;IF(AND(ISNUMBER(K52),K52=T52),"Jamil, ","")&amp;IF(AND(ISNUMBER(M52),M52=T52),"Muller, ","")&amp;IF(AND(ISNUMBER(O52),O52=T52),"NMMC, ","")&amp;IF(AND(ISNUMBER(Q52),Q52=T52),"Platinum, ",""))-2))</f>
        <v>NMMC</v>
      </c>
      <c r="V52" s="10" t="n">
        <f aca="false">IF(S52=0,"",T52*F52)</f>
        <v>308280</v>
      </c>
      <c r="W52" s="6"/>
    </row>
    <row r="53" customFormat="false" ht="23.85" hidden="false" customHeight="false" outlineLevel="0" collapsed="false">
      <c r="A53" s="5" t="n">
        <v>48</v>
      </c>
      <c r="B53" s="6" t="s">
        <v>250</v>
      </c>
      <c r="C53" s="6" t="s">
        <v>251</v>
      </c>
      <c r="D53" s="6" t="s">
        <v>252</v>
      </c>
      <c r="E53" s="5" t="s">
        <v>37</v>
      </c>
      <c r="F53" s="5" t="n">
        <v>200</v>
      </c>
      <c r="G53" s="7"/>
      <c r="H53" s="6"/>
      <c r="I53" s="7" t="n">
        <v>691.52</v>
      </c>
      <c r="J53" s="6" t="s">
        <v>71</v>
      </c>
      <c r="K53" s="7"/>
      <c r="L53" s="6"/>
      <c r="M53" s="7"/>
      <c r="N53" s="6"/>
      <c r="O53" s="7" t="n">
        <v>753.57</v>
      </c>
      <c r="P53" s="6" t="s">
        <v>253</v>
      </c>
      <c r="Q53" s="7"/>
      <c r="R53" s="6"/>
      <c r="S53" s="5" t="n">
        <f aca="false">COUNT(G53,I53,K53,M53,O53,Q53)</f>
        <v>2</v>
      </c>
      <c r="T53" s="8" t="n">
        <f aca="false">IF(S53=0,"",MIN(G53,I53,K53,M53,O53,Q53))</f>
        <v>691.52</v>
      </c>
      <c r="U53" s="9" t="str">
        <f aca="false">IF(S53=0,"No quote",LEFT(IF(AND(ISNUMBER(G53),G53=T53),"Ahsan, ","")&amp;IF(AND(ISNUMBER(I53),I53=T53),"Aslam, ","")&amp;IF(AND(ISNUMBER(K53),K53=T53),"Jamil, ","")&amp;IF(AND(ISNUMBER(M53),M53=T53),"Muller, ","")&amp;IF(AND(ISNUMBER(O53),O53=T53),"NMMC, ","")&amp;IF(AND(ISNUMBER(Q53),Q53=T53),"Platinum, ",""),LEN(IF(AND(ISNUMBER(G53),G53=T53),"Ahsan, ","")&amp;IF(AND(ISNUMBER(I53),I53=T53),"Aslam, ","")&amp;IF(AND(ISNUMBER(K53),K53=T53),"Jamil, ","")&amp;IF(AND(ISNUMBER(M53),M53=T53),"Muller, ","")&amp;IF(AND(ISNUMBER(O53),O53=T53),"NMMC, ","")&amp;IF(AND(ISNUMBER(Q53),Q53=T53),"Platinum, ",""))-2))</f>
        <v>Aslam</v>
      </c>
      <c r="V53" s="10" t="n">
        <f aca="false">IF(S53=0,"",T53*F53)</f>
        <v>138304</v>
      </c>
      <c r="W53" s="6"/>
    </row>
    <row r="54" customFormat="false" ht="23.85" hidden="false" customHeight="false" outlineLevel="0" collapsed="false">
      <c r="A54" s="5" t="n">
        <v>49</v>
      </c>
      <c r="B54" s="6" t="s">
        <v>254</v>
      </c>
      <c r="C54" s="6" t="s">
        <v>255</v>
      </c>
      <c r="D54" s="6" t="s">
        <v>256</v>
      </c>
      <c r="E54" s="5" t="s">
        <v>37</v>
      </c>
      <c r="F54" s="5" t="n">
        <v>65</v>
      </c>
      <c r="G54" s="7"/>
      <c r="H54" s="6"/>
      <c r="I54" s="7"/>
      <c r="J54" s="6"/>
      <c r="K54" s="7"/>
      <c r="L54" s="6"/>
      <c r="M54" s="7"/>
      <c r="N54" s="6"/>
      <c r="O54" s="7"/>
      <c r="P54" s="6"/>
      <c r="Q54" s="7"/>
      <c r="R54" s="6"/>
      <c r="S54" s="5" t="n">
        <f aca="false">COUNT(G54,I54,K54,M54,O54,Q54)</f>
        <v>0</v>
      </c>
      <c r="T54" s="8" t="str">
        <f aca="false">IF(S54=0,"",MIN(G54,I54,K54,M54,O54,Q54))</f>
        <v/>
      </c>
      <c r="U54" s="9" t="str">
        <f aca="false">IF(S54=0,"No quote",LEFT(IF(AND(ISNUMBER(G54),G54=T54),"Ahsan, ","")&amp;IF(AND(ISNUMBER(I54),I54=T54),"Aslam, ","")&amp;IF(AND(ISNUMBER(K54),K54=T54),"Jamil, ","")&amp;IF(AND(ISNUMBER(M54),M54=T54),"Muller, ","")&amp;IF(AND(ISNUMBER(O54),O54=T54),"NMMC, ","")&amp;IF(AND(ISNUMBER(Q54),Q54=T54),"Platinum, ",""),LEN(IF(AND(ISNUMBER(G54),G54=T54),"Ahsan, ","")&amp;IF(AND(ISNUMBER(I54),I54=T54),"Aslam, ","")&amp;IF(AND(ISNUMBER(K54),K54=T54),"Jamil, ","")&amp;IF(AND(ISNUMBER(M54),M54=T54),"Muller, ","")&amp;IF(AND(ISNUMBER(O54),O54=T54),"NMMC, ","")&amp;IF(AND(ISNUMBER(Q54),Q54=T54),"Platinum, ",""))-2))</f>
        <v>No quote</v>
      </c>
      <c r="V54" s="10" t="str">
        <f aca="false">IF(S54=0,"",T54*F54)</f>
        <v/>
      </c>
      <c r="W54" s="6"/>
    </row>
    <row r="55" customFormat="false" ht="35.05" hidden="false" customHeight="false" outlineLevel="0" collapsed="false">
      <c r="A55" s="5" t="n">
        <v>50</v>
      </c>
      <c r="B55" s="6" t="s">
        <v>257</v>
      </c>
      <c r="C55" s="6" t="s">
        <v>258</v>
      </c>
      <c r="D55" s="6" t="s">
        <v>259</v>
      </c>
      <c r="E55" s="5" t="s">
        <v>37</v>
      </c>
      <c r="F55" s="5" t="n">
        <v>20</v>
      </c>
      <c r="G55" s="7" t="n">
        <v>221</v>
      </c>
      <c r="H55" s="6" t="s">
        <v>260</v>
      </c>
      <c r="I55" s="7"/>
      <c r="J55" s="6"/>
      <c r="K55" s="7"/>
      <c r="L55" s="6"/>
      <c r="M55" s="7"/>
      <c r="N55" s="6"/>
      <c r="O55" s="7" t="n">
        <v>591.6</v>
      </c>
      <c r="P55" s="6" t="s">
        <v>261</v>
      </c>
      <c r="Q55" s="7"/>
      <c r="R55" s="6"/>
      <c r="S55" s="5" t="n">
        <f aca="false">COUNT(G55,I55,K55,M55,O55,Q55)</f>
        <v>2</v>
      </c>
      <c r="T55" s="8" t="n">
        <f aca="false">IF(S55=0,"",MIN(G55,I55,K55,M55,O55,Q55))</f>
        <v>221</v>
      </c>
      <c r="U55" s="9" t="str">
        <f aca="false">IF(S55=0,"No quote",LEFT(IF(AND(ISNUMBER(G55),G55=T55),"Ahsan, ","")&amp;IF(AND(ISNUMBER(I55),I55=T55),"Aslam, ","")&amp;IF(AND(ISNUMBER(K55),K55=T55),"Jamil, ","")&amp;IF(AND(ISNUMBER(M55),M55=T55),"Muller, ","")&amp;IF(AND(ISNUMBER(O55),O55=T55),"NMMC, ","")&amp;IF(AND(ISNUMBER(Q55),Q55=T55),"Platinum, ",""),LEN(IF(AND(ISNUMBER(G55),G55=T55),"Ahsan, ","")&amp;IF(AND(ISNUMBER(I55),I55=T55),"Aslam, ","")&amp;IF(AND(ISNUMBER(K55),K55=T55),"Jamil, ","")&amp;IF(AND(ISNUMBER(M55),M55=T55),"Muller, ","")&amp;IF(AND(ISNUMBER(O55),O55=T55),"NMMC, ","")&amp;IF(AND(ISNUMBER(Q55),Q55=T55),"Platinum, ",""))-2))</f>
        <v>Ahsan</v>
      </c>
      <c r="V55" s="10" t="n">
        <f aca="false">IF(S55=0,"",T55*F55)</f>
        <v>4420</v>
      </c>
      <c r="W55" s="6"/>
    </row>
    <row r="56" customFormat="false" ht="35.05" hidden="false" customHeight="false" outlineLevel="0" collapsed="false">
      <c r="A56" s="5" t="n">
        <v>51</v>
      </c>
      <c r="B56" s="6" t="s">
        <v>262</v>
      </c>
      <c r="C56" s="6" t="s">
        <v>263</v>
      </c>
      <c r="D56" s="6" t="s">
        <v>264</v>
      </c>
      <c r="E56" s="5" t="s">
        <v>37</v>
      </c>
      <c r="F56" s="5" t="n">
        <v>200</v>
      </c>
      <c r="G56" s="7"/>
      <c r="H56" s="6"/>
      <c r="I56" s="7"/>
      <c r="J56" s="6"/>
      <c r="K56" s="7"/>
      <c r="L56" s="6"/>
      <c r="M56" s="7"/>
      <c r="N56" s="6"/>
      <c r="O56" s="7" t="n">
        <v>321.04</v>
      </c>
      <c r="P56" s="6" t="s">
        <v>265</v>
      </c>
      <c r="Q56" s="7"/>
      <c r="R56" s="6"/>
      <c r="S56" s="5" t="n">
        <f aca="false">COUNT(G56,I56,K56,M56,O56,Q56)</f>
        <v>1</v>
      </c>
      <c r="T56" s="8" t="n">
        <f aca="false">IF(S56=0,"",MIN(G56,I56,K56,M56,O56,Q56))</f>
        <v>321.04</v>
      </c>
      <c r="U56" s="9" t="str">
        <f aca="false">IF(S56=0,"No quote",LEFT(IF(AND(ISNUMBER(G56),G56=T56),"Ahsan, ","")&amp;IF(AND(ISNUMBER(I56),I56=T56),"Aslam, ","")&amp;IF(AND(ISNUMBER(K56),K56=T56),"Jamil, ","")&amp;IF(AND(ISNUMBER(M56),M56=T56),"Muller, ","")&amp;IF(AND(ISNUMBER(O56),O56=T56),"NMMC, ","")&amp;IF(AND(ISNUMBER(Q56),Q56=T56),"Platinum, ",""),LEN(IF(AND(ISNUMBER(G56),G56=T56),"Ahsan, ","")&amp;IF(AND(ISNUMBER(I56),I56=T56),"Aslam, ","")&amp;IF(AND(ISNUMBER(K56),K56=T56),"Jamil, ","")&amp;IF(AND(ISNUMBER(M56),M56=T56),"Muller, ","")&amp;IF(AND(ISNUMBER(O56),O56=T56),"NMMC, ","")&amp;IF(AND(ISNUMBER(Q56),Q56=T56),"Platinum, ",""))-2))</f>
        <v>NMMC</v>
      </c>
      <c r="V56" s="10" t="n">
        <f aca="false">IF(S56=0,"",T56*F56)</f>
        <v>64208</v>
      </c>
      <c r="W56" s="6"/>
    </row>
    <row r="57" customFormat="false" ht="35.05" hidden="false" customHeight="false" outlineLevel="0" collapsed="false">
      <c r="A57" s="5" t="n">
        <v>52</v>
      </c>
      <c r="B57" s="6" t="s">
        <v>266</v>
      </c>
      <c r="C57" s="6" t="s">
        <v>267</v>
      </c>
      <c r="D57" s="6" t="s">
        <v>268</v>
      </c>
      <c r="E57" s="5" t="s">
        <v>37</v>
      </c>
      <c r="F57" s="5" t="n">
        <v>250</v>
      </c>
      <c r="G57" s="7" t="n">
        <v>331.5</v>
      </c>
      <c r="H57" s="6" t="s">
        <v>269</v>
      </c>
      <c r="I57" s="7" t="n">
        <v>382.5</v>
      </c>
      <c r="J57" s="6" t="s">
        <v>57</v>
      </c>
      <c r="K57" s="7" t="n">
        <v>708.05</v>
      </c>
      <c r="L57" s="6" t="s">
        <v>270</v>
      </c>
      <c r="M57" s="7" t="n">
        <v>242.48</v>
      </c>
      <c r="N57" s="6" t="s">
        <v>271</v>
      </c>
      <c r="O57" s="7"/>
      <c r="P57" s="6"/>
      <c r="Q57" s="7"/>
      <c r="R57" s="6"/>
      <c r="S57" s="5" t="n">
        <f aca="false">COUNT(G57,I57,K57,M57,O57,Q57)</f>
        <v>4</v>
      </c>
      <c r="T57" s="8" t="n">
        <f aca="false">IF(S57=0,"",MIN(G57,I57,K57,M57,O57,Q57))</f>
        <v>242.48</v>
      </c>
      <c r="U57" s="9" t="str">
        <f aca="false">IF(S57=0,"No quote",LEFT(IF(AND(ISNUMBER(G57),G57=T57),"Ahsan, ","")&amp;IF(AND(ISNUMBER(I57),I57=T57),"Aslam, ","")&amp;IF(AND(ISNUMBER(K57),K57=T57),"Jamil, ","")&amp;IF(AND(ISNUMBER(M57),M57=T57),"Muller, ","")&amp;IF(AND(ISNUMBER(O57),O57=T57),"NMMC, ","")&amp;IF(AND(ISNUMBER(Q57),Q57=T57),"Platinum, ",""),LEN(IF(AND(ISNUMBER(G57),G57=T57),"Ahsan, ","")&amp;IF(AND(ISNUMBER(I57),I57=T57),"Aslam, ","")&amp;IF(AND(ISNUMBER(K57),K57=T57),"Jamil, ","")&amp;IF(AND(ISNUMBER(M57),M57=T57),"Muller, ","")&amp;IF(AND(ISNUMBER(O57),O57=T57),"NMMC, ","")&amp;IF(AND(ISNUMBER(Q57),Q57=T57),"Platinum, ",""))-2))</f>
        <v>Muller</v>
      </c>
      <c r="V57" s="10" t="n">
        <f aca="false">IF(S57=0,"",T57*F57)</f>
        <v>60620</v>
      </c>
      <c r="W57" s="6"/>
    </row>
    <row r="58" customFormat="false" ht="46.25" hidden="false" customHeight="false" outlineLevel="0" collapsed="false">
      <c r="A58" s="5" t="n">
        <v>53</v>
      </c>
      <c r="B58" s="6" t="s">
        <v>272</v>
      </c>
      <c r="C58" s="6" t="s">
        <v>273</v>
      </c>
      <c r="D58" s="6" t="s">
        <v>274</v>
      </c>
      <c r="E58" s="5" t="s">
        <v>37</v>
      </c>
      <c r="F58" s="5" t="n">
        <v>200</v>
      </c>
      <c r="G58" s="7" t="n">
        <v>467.5</v>
      </c>
      <c r="H58" s="6" t="s">
        <v>275</v>
      </c>
      <c r="I58" s="7" t="n">
        <v>467.5</v>
      </c>
      <c r="J58" s="6" t="s">
        <v>39</v>
      </c>
      <c r="K58" s="7" t="n">
        <v>530.4</v>
      </c>
      <c r="L58" s="6" t="s">
        <v>276</v>
      </c>
      <c r="M58" s="7" t="n">
        <v>518.5</v>
      </c>
      <c r="N58" s="6" t="s">
        <v>277</v>
      </c>
      <c r="O58" s="7" t="n">
        <v>270.725</v>
      </c>
      <c r="P58" s="6" t="s">
        <v>278</v>
      </c>
      <c r="Q58" s="7"/>
      <c r="R58" s="6"/>
      <c r="S58" s="5" t="n">
        <f aca="false">COUNT(G58,I58,K58,M58,O58,Q58)</f>
        <v>5</v>
      </c>
      <c r="T58" s="8" t="n">
        <f aca="false">IF(S58=0,"",MIN(G58,I58,K58,M58,O58,Q58))</f>
        <v>270.725</v>
      </c>
      <c r="U58" s="9" t="str">
        <f aca="false">IF(S58=0,"No quote",LEFT(IF(AND(ISNUMBER(G58),G58=T58),"Ahsan, ","")&amp;IF(AND(ISNUMBER(I58),I58=T58),"Aslam, ","")&amp;IF(AND(ISNUMBER(K58),K58=T58),"Jamil, ","")&amp;IF(AND(ISNUMBER(M58),M58=T58),"Muller, ","")&amp;IF(AND(ISNUMBER(O58),O58=T58),"NMMC, ","")&amp;IF(AND(ISNUMBER(Q58),Q58=T58),"Platinum, ",""),LEN(IF(AND(ISNUMBER(G58),G58=T58),"Ahsan, ","")&amp;IF(AND(ISNUMBER(I58),I58=T58),"Aslam, ","")&amp;IF(AND(ISNUMBER(K58),K58=T58),"Jamil, ","")&amp;IF(AND(ISNUMBER(M58),M58=T58),"Muller, ","")&amp;IF(AND(ISNUMBER(O58),O58=T58),"NMMC, ","")&amp;IF(AND(ISNUMBER(Q58),Q58=T58),"Platinum, ",""))-2))</f>
        <v>NMMC</v>
      </c>
      <c r="V58" s="10" t="n">
        <f aca="false">IF(S58=0,"",T58*F58)</f>
        <v>54145</v>
      </c>
      <c r="W58" s="6"/>
    </row>
    <row r="59" customFormat="false" ht="23.85" hidden="false" customHeight="false" outlineLevel="0" collapsed="false">
      <c r="A59" s="5" t="n">
        <v>54</v>
      </c>
      <c r="B59" s="6" t="s">
        <v>279</v>
      </c>
      <c r="C59" s="6" t="s">
        <v>280</v>
      </c>
      <c r="D59" s="6" t="s">
        <v>281</v>
      </c>
      <c r="E59" s="5" t="s">
        <v>37</v>
      </c>
      <c r="F59" s="5" t="n">
        <v>50</v>
      </c>
      <c r="G59" s="7" t="n">
        <v>318.75</v>
      </c>
      <c r="H59" s="6" t="s">
        <v>282</v>
      </c>
      <c r="I59" s="7"/>
      <c r="J59" s="6"/>
      <c r="K59" s="7"/>
      <c r="L59" s="6"/>
      <c r="M59" s="7" t="n">
        <v>892.5</v>
      </c>
      <c r="N59" s="6" t="s">
        <v>283</v>
      </c>
      <c r="O59" s="7"/>
      <c r="P59" s="6"/>
      <c r="Q59" s="7"/>
      <c r="R59" s="6"/>
      <c r="S59" s="5" t="n">
        <f aca="false">COUNT(G59,I59,K59,M59,O59,Q59)</f>
        <v>2</v>
      </c>
      <c r="T59" s="8" t="n">
        <f aca="false">IF(S59=0,"",MIN(G59,I59,K59,M59,O59,Q59))</f>
        <v>318.75</v>
      </c>
      <c r="U59" s="9" t="str">
        <f aca="false">IF(S59=0,"No quote",LEFT(IF(AND(ISNUMBER(G59),G59=T59),"Ahsan, ","")&amp;IF(AND(ISNUMBER(I59),I59=T59),"Aslam, ","")&amp;IF(AND(ISNUMBER(K59),K59=T59),"Jamil, ","")&amp;IF(AND(ISNUMBER(M59),M59=T59),"Muller, ","")&amp;IF(AND(ISNUMBER(O59),O59=T59),"NMMC, ","")&amp;IF(AND(ISNUMBER(Q59),Q59=T59),"Platinum, ",""),LEN(IF(AND(ISNUMBER(G59),G59=T59),"Ahsan, ","")&amp;IF(AND(ISNUMBER(I59),I59=T59),"Aslam, ","")&amp;IF(AND(ISNUMBER(K59),K59=T59),"Jamil, ","")&amp;IF(AND(ISNUMBER(M59),M59=T59),"Muller, ","")&amp;IF(AND(ISNUMBER(O59),O59=T59),"NMMC, ","")&amp;IF(AND(ISNUMBER(Q59),Q59=T59),"Platinum, ",""))-2))</f>
        <v>Ahsan</v>
      </c>
      <c r="V59" s="10" t="n">
        <f aca="false">IF(S59=0,"",T59*F59)</f>
        <v>15937.5</v>
      </c>
      <c r="W59" s="6"/>
    </row>
    <row r="60" customFormat="false" ht="23.85" hidden="false" customHeight="false" outlineLevel="0" collapsed="false">
      <c r="A60" s="5" t="n">
        <v>55</v>
      </c>
      <c r="B60" s="6" t="s">
        <v>284</v>
      </c>
      <c r="C60" s="6" t="s">
        <v>285</v>
      </c>
      <c r="D60" s="6" t="s">
        <v>286</v>
      </c>
      <c r="E60" s="5" t="s">
        <v>37</v>
      </c>
      <c r="F60" s="5" t="n">
        <v>50</v>
      </c>
      <c r="G60" s="7" t="n">
        <v>382.5</v>
      </c>
      <c r="H60" s="6" t="s">
        <v>287</v>
      </c>
      <c r="I60" s="7"/>
      <c r="J60" s="6"/>
      <c r="K60" s="7"/>
      <c r="L60" s="6"/>
      <c r="M60" s="7" t="n">
        <v>2737.17</v>
      </c>
      <c r="N60" s="6" t="s">
        <v>288</v>
      </c>
      <c r="O60" s="7" t="n">
        <v>382.5</v>
      </c>
      <c r="P60" s="6" t="s">
        <v>289</v>
      </c>
      <c r="Q60" s="7"/>
      <c r="R60" s="6"/>
      <c r="S60" s="5" t="n">
        <f aca="false">COUNT(G60,I60,K60,M60,O60,Q60)</f>
        <v>3</v>
      </c>
      <c r="T60" s="8" t="n">
        <f aca="false">IF(S60=0,"",MIN(G60,I60,K60,M60,O60,Q60))</f>
        <v>382.5</v>
      </c>
      <c r="U60" s="9" t="str">
        <f aca="false">IF(S60=0,"No quote",LEFT(IF(AND(ISNUMBER(G60),G60=T60),"Ahsan, ","")&amp;IF(AND(ISNUMBER(I60),I60=T60),"Aslam, ","")&amp;IF(AND(ISNUMBER(K60),K60=T60),"Jamil, ","")&amp;IF(AND(ISNUMBER(M60),M60=T60),"Muller, ","")&amp;IF(AND(ISNUMBER(O60),O60=T60),"NMMC, ","")&amp;IF(AND(ISNUMBER(Q60),Q60=T60),"Platinum, ",""),LEN(IF(AND(ISNUMBER(G60),G60=T60),"Ahsan, ","")&amp;IF(AND(ISNUMBER(I60),I60=T60),"Aslam, ","")&amp;IF(AND(ISNUMBER(K60),K60=T60),"Jamil, ","")&amp;IF(AND(ISNUMBER(M60),M60=T60),"Muller, ","")&amp;IF(AND(ISNUMBER(O60),O60=T60),"NMMC, ","")&amp;IF(AND(ISNUMBER(Q60),Q60=T60),"Platinum, ",""))-2))</f>
        <v>Ahsan, NMMC</v>
      </c>
      <c r="V60" s="10" t="n">
        <f aca="false">IF(S60=0,"",T60*F60)</f>
        <v>19125</v>
      </c>
      <c r="W60" s="6"/>
    </row>
    <row r="61" customFormat="false" ht="35.05" hidden="false" customHeight="false" outlineLevel="0" collapsed="false">
      <c r="A61" s="5" t="n">
        <v>56</v>
      </c>
      <c r="B61" s="6" t="s">
        <v>290</v>
      </c>
      <c r="C61" s="6" t="s">
        <v>291</v>
      </c>
      <c r="D61" s="6" t="s">
        <v>292</v>
      </c>
      <c r="E61" s="5" t="s">
        <v>24</v>
      </c>
      <c r="F61" s="5" t="n">
        <v>200</v>
      </c>
      <c r="G61" s="7" t="n">
        <v>255</v>
      </c>
      <c r="H61" s="6" t="s">
        <v>293</v>
      </c>
      <c r="I61" s="7"/>
      <c r="J61" s="6"/>
      <c r="K61" s="7"/>
      <c r="L61" s="6"/>
      <c r="M61" s="7"/>
      <c r="N61" s="6"/>
      <c r="O61" s="7" t="n">
        <v>193.8</v>
      </c>
      <c r="P61" s="6" t="s">
        <v>294</v>
      </c>
      <c r="Q61" s="7"/>
      <c r="R61" s="6"/>
      <c r="S61" s="5" t="n">
        <f aca="false">COUNT(G61,I61,K61,M61,O61,Q61)</f>
        <v>2</v>
      </c>
      <c r="T61" s="8" t="n">
        <f aca="false">IF(S61=0,"",MIN(G61,I61,K61,M61,O61,Q61))</f>
        <v>193.8</v>
      </c>
      <c r="U61" s="9" t="str">
        <f aca="false">IF(S61=0,"No quote",LEFT(IF(AND(ISNUMBER(G61),G61=T61),"Ahsan, ","")&amp;IF(AND(ISNUMBER(I61),I61=T61),"Aslam, ","")&amp;IF(AND(ISNUMBER(K61),K61=T61),"Jamil, ","")&amp;IF(AND(ISNUMBER(M61),M61=T61),"Muller, ","")&amp;IF(AND(ISNUMBER(O61),O61=T61),"NMMC, ","")&amp;IF(AND(ISNUMBER(Q61),Q61=T61),"Platinum, ",""),LEN(IF(AND(ISNUMBER(G61),G61=T61),"Ahsan, ","")&amp;IF(AND(ISNUMBER(I61),I61=T61),"Aslam, ","")&amp;IF(AND(ISNUMBER(K61),K61=T61),"Jamil, ","")&amp;IF(AND(ISNUMBER(M61),M61=T61),"Muller, ","")&amp;IF(AND(ISNUMBER(O61),O61=T61),"NMMC, ","")&amp;IF(AND(ISNUMBER(Q61),Q61=T61),"Platinum, ",""))-2))</f>
        <v>NMMC</v>
      </c>
      <c r="V61" s="10" t="n">
        <f aca="false">IF(S61=0,"",T61*F61)</f>
        <v>38760</v>
      </c>
      <c r="W61" s="6"/>
    </row>
    <row r="62" customFormat="false" ht="23.85" hidden="false" customHeight="false" outlineLevel="0" collapsed="false">
      <c r="A62" s="5" t="n">
        <v>57</v>
      </c>
      <c r="B62" s="6" t="s">
        <v>295</v>
      </c>
      <c r="C62" s="6" t="s">
        <v>296</v>
      </c>
      <c r="D62" s="6" t="s">
        <v>297</v>
      </c>
      <c r="E62" s="5" t="s">
        <v>37</v>
      </c>
      <c r="F62" s="5" t="n">
        <v>10</v>
      </c>
      <c r="G62" s="7"/>
      <c r="H62" s="6"/>
      <c r="I62" s="7"/>
      <c r="J62" s="6"/>
      <c r="K62" s="7" t="n">
        <v>1114.26</v>
      </c>
      <c r="L62" s="6" t="s">
        <v>298</v>
      </c>
      <c r="M62" s="7"/>
      <c r="N62" s="6"/>
      <c r="O62" s="7"/>
      <c r="P62" s="6"/>
      <c r="Q62" s="7"/>
      <c r="R62" s="6"/>
      <c r="S62" s="5" t="n">
        <f aca="false">COUNT(G62,I62,K62,M62,O62,Q62)</f>
        <v>1</v>
      </c>
      <c r="T62" s="8" t="n">
        <f aca="false">IF(S62=0,"",MIN(G62,I62,K62,M62,O62,Q62))</f>
        <v>1114.26</v>
      </c>
      <c r="U62" s="9" t="str">
        <f aca="false">IF(S62=0,"No quote",LEFT(IF(AND(ISNUMBER(G62),G62=T62),"Ahsan, ","")&amp;IF(AND(ISNUMBER(I62),I62=T62),"Aslam, ","")&amp;IF(AND(ISNUMBER(K62),K62=T62),"Jamil, ","")&amp;IF(AND(ISNUMBER(M62),M62=T62),"Muller, ","")&amp;IF(AND(ISNUMBER(O62),O62=T62),"NMMC, ","")&amp;IF(AND(ISNUMBER(Q62),Q62=T62),"Platinum, ",""),LEN(IF(AND(ISNUMBER(G62),G62=T62),"Ahsan, ","")&amp;IF(AND(ISNUMBER(I62),I62=T62),"Aslam, ","")&amp;IF(AND(ISNUMBER(K62),K62=T62),"Jamil, ","")&amp;IF(AND(ISNUMBER(M62),M62=T62),"Muller, ","")&amp;IF(AND(ISNUMBER(O62),O62=T62),"NMMC, ","")&amp;IF(AND(ISNUMBER(Q62),Q62=T62),"Platinum, ",""))-2))</f>
        <v>Jamil</v>
      </c>
      <c r="V62" s="10" t="n">
        <f aca="false">IF(S62=0,"",T62*F62)</f>
        <v>11142.6</v>
      </c>
      <c r="W62" s="6"/>
    </row>
    <row r="63" customFormat="false" ht="35.05" hidden="false" customHeight="false" outlineLevel="0" collapsed="false">
      <c r="A63" s="5" t="n">
        <v>58</v>
      </c>
      <c r="B63" s="6" t="s">
        <v>299</v>
      </c>
      <c r="C63" s="6" t="s">
        <v>300</v>
      </c>
      <c r="D63" s="6" t="s">
        <v>301</v>
      </c>
      <c r="E63" s="5" t="s">
        <v>24</v>
      </c>
      <c r="F63" s="5" t="n">
        <v>50</v>
      </c>
      <c r="G63" s="7"/>
      <c r="H63" s="6"/>
      <c r="I63" s="7"/>
      <c r="J63" s="6"/>
      <c r="K63" s="7" t="n">
        <v>185.05</v>
      </c>
      <c r="L63" s="6" t="s">
        <v>302</v>
      </c>
      <c r="M63" s="7"/>
      <c r="N63" s="6"/>
      <c r="O63" s="7" t="n">
        <v>114.75</v>
      </c>
      <c r="P63" s="6" t="s">
        <v>303</v>
      </c>
      <c r="Q63" s="7"/>
      <c r="R63" s="6"/>
      <c r="S63" s="5" t="n">
        <f aca="false">COUNT(G63,I63,K63,M63,O63,Q63)</f>
        <v>2</v>
      </c>
      <c r="T63" s="8" t="n">
        <f aca="false">IF(S63=0,"",MIN(G63,I63,K63,M63,O63,Q63))</f>
        <v>114.75</v>
      </c>
      <c r="U63" s="9" t="str">
        <f aca="false">IF(S63=0,"No quote",LEFT(IF(AND(ISNUMBER(G63),G63=T63),"Ahsan, ","")&amp;IF(AND(ISNUMBER(I63),I63=T63),"Aslam, ","")&amp;IF(AND(ISNUMBER(K63),K63=T63),"Jamil, ","")&amp;IF(AND(ISNUMBER(M63),M63=T63),"Muller, ","")&amp;IF(AND(ISNUMBER(O63),O63=T63),"NMMC, ","")&amp;IF(AND(ISNUMBER(Q63),Q63=T63),"Platinum, ",""),LEN(IF(AND(ISNUMBER(G63),G63=T63),"Ahsan, ","")&amp;IF(AND(ISNUMBER(I63),I63=T63),"Aslam, ","")&amp;IF(AND(ISNUMBER(K63),K63=T63),"Jamil, ","")&amp;IF(AND(ISNUMBER(M63),M63=T63),"Muller, ","")&amp;IF(AND(ISNUMBER(O63),O63=T63),"NMMC, ","")&amp;IF(AND(ISNUMBER(Q63),Q63=T63),"Platinum, ",""))-2))</f>
        <v>NMMC</v>
      </c>
      <c r="V63" s="10" t="n">
        <f aca="false">IF(S63=0,"",T63*F63)</f>
        <v>5737.5</v>
      </c>
      <c r="W63" s="6"/>
    </row>
    <row r="64" customFormat="false" ht="15" hidden="false" customHeight="false" outlineLevel="0" collapsed="false">
      <c r="A64" s="5" t="n">
        <v>59</v>
      </c>
      <c r="B64" s="6" t="s">
        <v>304</v>
      </c>
      <c r="C64" s="6" t="s">
        <v>305</v>
      </c>
      <c r="D64" s="6" t="s">
        <v>306</v>
      </c>
      <c r="E64" s="5" t="s">
        <v>37</v>
      </c>
      <c r="F64" s="5" t="n">
        <v>30</v>
      </c>
      <c r="G64" s="7"/>
      <c r="H64" s="6"/>
      <c r="I64" s="7"/>
      <c r="J64" s="6"/>
      <c r="K64" s="7"/>
      <c r="L64" s="6"/>
      <c r="M64" s="7"/>
      <c r="N64" s="6"/>
      <c r="O64" s="7"/>
      <c r="P64" s="6"/>
      <c r="Q64" s="7"/>
      <c r="R64" s="6"/>
      <c r="S64" s="5" t="n">
        <f aca="false">COUNT(G64,I64,K64,M64,O64,Q64)</f>
        <v>0</v>
      </c>
      <c r="T64" s="8" t="str">
        <f aca="false">IF(S64=0,"",MIN(G64,I64,K64,M64,O64,Q64))</f>
        <v/>
      </c>
      <c r="U64" s="9" t="str">
        <f aca="false">IF(S64=0,"No quote",LEFT(IF(AND(ISNUMBER(G64),G64=T64),"Ahsan, ","")&amp;IF(AND(ISNUMBER(I64),I64=T64),"Aslam, ","")&amp;IF(AND(ISNUMBER(K64),K64=T64),"Jamil, ","")&amp;IF(AND(ISNUMBER(M64),M64=T64),"Muller, ","")&amp;IF(AND(ISNUMBER(O64),O64=T64),"NMMC, ","")&amp;IF(AND(ISNUMBER(Q64),Q64=T64),"Platinum, ",""),LEN(IF(AND(ISNUMBER(G64),G64=T64),"Ahsan, ","")&amp;IF(AND(ISNUMBER(I64),I64=T64),"Aslam, ","")&amp;IF(AND(ISNUMBER(K64),K64=T64),"Jamil, ","")&amp;IF(AND(ISNUMBER(M64),M64=T64),"Muller, ","")&amp;IF(AND(ISNUMBER(O64),O64=T64),"NMMC, ","")&amp;IF(AND(ISNUMBER(Q64),Q64=T64),"Platinum, ",""))-2))</f>
        <v>No quote</v>
      </c>
      <c r="V64" s="10" t="str">
        <f aca="false">IF(S64=0,"",T64*F64)</f>
        <v/>
      </c>
      <c r="W64" s="6"/>
    </row>
    <row r="65" customFormat="false" ht="23.85" hidden="false" customHeight="false" outlineLevel="0" collapsed="false">
      <c r="A65" s="5" t="n">
        <v>60</v>
      </c>
      <c r="B65" s="6" t="s">
        <v>307</v>
      </c>
      <c r="C65" s="6" t="s">
        <v>308</v>
      </c>
      <c r="D65" s="6" t="s">
        <v>309</v>
      </c>
      <c r="E65" s="5" t="s">
        <v>24</v>
      </c>
      <c r="F65" s="5" t="n">
        <v>100</v>
      </c>
      <c r="G65" s="7"/>
      <c r="H65" s="6"/>
      <c r="I65" s="7"/>
      <c r="J65" s="6"/>
      <c r="K65" s="7"/>
      <c r="L65" s="6"/>
      <c r="M65" s="7"/>
      <c r="N65" s="6"/>
      <c r="O65" s="7" t="n">
        <v>136.63</v>
      </c>
      <c r="P65" s="6" t="s">
        <v>310</v>
      </c>
      <c r="Q65" s="7"/>
      <c r="R65" s="6"/>
      <c r="S65" s="5" t="n">
        <f aca="false">COUNT(G65,I65,K65,M65,O65,Q65)</f>
        <v>1</v>
      </c>
      <c r="T65" s="8" t="n">
        <f aca="false">IF(S65=0,"",MIN(G65,I65,K65,M65,O65,Q65))</f>
        <v>136.63</v>
      </c>
      <c r="U65" s="9" t="str">
        <f aca="false">IF(S65=0,"No quote",LEFT(IF(AND(ISNUMBER(G65),G65=T65),"Ahsan, ","")&amp;IF(AND(ISNUMBER(I65),I65=T65),"Aslam, ","")&amp;IF(AND(ISNUMBER(K65),K65=T65),"Jamil, ","")&amp;IF(AND(ISNUMBER(M65),M65=T65),"Muller, ","")&amp;IF(AND(ISNUMBER(O65),O65=T65),"NMMC, ","")&amp;IF(AND(ISNUMBER(Q65),Q65=T65),"Platinum, ",""),LEN(IF(AND(ISNUMBER(G65),G65=T65),"Ahsan, ","")&amp;IF(AND(ISNUMBER(I65),I65=T65),"Aslam, ","")&amp;IF(AND(ISNUMBER(K65),K65=T65),"Jamil, ","")&amp;IF(AND(ISNUMBER(M65),M65=T65),"Muller, ","")&amp;IF(AND(ISNUMBER(O65),O65=T65),"NMMC, ","")&amp;IF(AND(ISNUMBER(Q65),Q65=T65),"Platinum, ",""))-2))</f>
        <v>NMMC</v>
      </c>
      <c r="V65" s="10" t="n">
        <f aca="false">IF(S65=0,"",T65*F65)</f>
        <v>13663</v>
      </c>
      <c r="W65" s="6"/>
    </row>
    <row r="66" customFormat="false" ht="23.85" hidden="false" customHeight="false" outlineLevel="0" collapsed="false">
      <c r="A66" s="5" t="n">
        <v>61</v>
      </c>
      <c r="B66" s="6" t="s">
        <v>311</v>
      </c>
      <c r="C66" s="6" t="s">
        <v>312</v>
      </c>
      <c r="D66" s="6" t="s">
        <v>313</v>
      </c>
      <c r="E66" s="5" t="s">
        <v>24</v>
      </c>
      <c r="F66" s="5" t="n">
        <v>100</v>
      </c>
      <c r="G66" s="7"/>
      <c r="H66" s="6"/>
      <c r="I66" s="7"/>
      <c r="J66" s="6"/>
      <c r="K66" s="7"/>
      <c r="L66" s="6"/>
      <c r="M66" s="7"/>
      <c r="N66" s="6"/>
      <c r="O66" s="7" t="n">
        <v>107.1</v>
      </c>
      <c r="P66" s="6" t="s">
        <v>314</v>
      </c>
      <c r="Q66" s="7"/>
      <c r="R66" s="6"/>
      <c r="S66" s="5" t="n">
        <f aca="false">COUNT(G66,I66,K66,M66,O66,Q66)</f>
        <v>1</v>
      </c>
      <c r="T66" s="8" t="n">
        <f aca="false">IF(S66=0,"",MIN(G66,I66,K66,M66,O66,Q66))</f>
        <v>107.1</v>
      </c>
      <c r="U66" s="9" t="str">
        <f aca="false">IF(S66=0,"No quote",LEFT(IF(AND(ISNUMBER(G66),G66=T66),"Ahsan, ","")&amp;IF(AND(ISNUMBER(I66),I66=T66),"Aslam, ","")&amp;IF(AND(ISNUMBER(K66),K66=T66),"Jamil, ","")&amp;IF(AND(ISNUMBER(M66),M66=T66),"Muller, ","")&amp;IF(AND(ISNUMBER(O66),O66=T66),"NMMC, ","")&amp;IF(AND(ISNUMBER(Q66),Q66=T66),"Platinum, ",""),LEN(IF(AND(ISNUMBER(G66),G66=T66),"Ahsan, ","")&amp;IF(AND(ISNUMBER(I66),I66=T66),"Aslam, ","")&amp;IF(AND(ISNUMBER(K66),K66=T66),"Jamil, ","")&amp;IF(AND(ISNUMBER(M66),M66=T66),"Muller, ","")&amp;IF(AND(ISNUMBER(O66),O66=T66),"NMMC, ","")&amp;IF(AND(ISNUMBER(Q66),Q66=T66),"Platinum, ",""))-2))</f>
        <v>NMMC</v>
      </c>
      <c r="V66" s="10" t="n">
        <f aca="false">IF(S66=0,"",T66*F66)</f>
        <v>10710</v>
      </c>
      <c r="W66" s="6"/>
    </row>
    <row r="67" customFormat="false" ht="23.85" hidden="false" customHeight="false" outlineLevel="0" collapsed="false">
      <c r="A67" s="5" t="n">
        <v>62</v>
      </c>
      <c r="B67" s="6" t="s">
        <v>315</v>
      </c>
      <c r="C67" s="6" t="s">
        <v>316</v>
      </c>
      <c r="D67" s="6" t="s">
        <v>317</v>
      </c>
      <c r="E67" s="5" t="s">
        <v>37</v>
      </c>
      <c r="F67" s="5" t="n">
        <v>100</v>
      </c>
      <c r="G67" s="7"/>
      <c r="H67" s="6"/>
      <c r="I67" s="7" t="n">
        <v>81.33</v>
      </c>
      <c r="J67" s="6" t="s">
        <v>318</v>
      </c>
      <c r="K67" s="7"/>
      <c r="L67" s="6"/>
      <c r="M67" s="7"/>
      <c r="N67" s="6"/>
      <c r="O67" s="7"/>
      <c r="P67" s="6"/>
      <c r="Q67" s="7"/>
      <c r="R67" s="6"/>
      <c r="S67" s="5" t="n">
        <f aca="false">COUNT(G67,I67,K67,M67,O67,Q67)</f>
        <v>1</v>
      </c>
      <c r="T67" s="8" t="n">
        <f aca="false">IF(S67=0,"",MIN(G67,I67,K67,M67,O67,Q67))</f>
        <v>81.33</v>
      </c>
      <c r="U67" s="9" t="str">
        <f aca="false">IF(S67=0,"No quote",LEFT(IF(AND(ISNUMBER(G67),G67=T67),"Ahsan, ","")&amp;IF(AND(ISNUMBER(I67),I67=T67),"Aslam, ","")&amp;IF(AND(ISNUMBER(K67),K67=T67),"Jamil, ","")&amp;IF(AND(ISNUMBER(M67),M67=T67),"Muller, ","")&amp;IF(AND(ISNUMBER(O67),O67=T67),"NMMC, ","")&amp;IF(AND(ISNUMBER(Q67),Q67=T67),"Platinum, ",""),LEN(IF(AND(ISNUMBER(G67),G67=T67),"Ahsan, ","")&amp;IF(AND(ISNUMBER(I67),I67=T67),"Aslam, ","")&amp;IF(AND(ISNUMBER(K67),K67=T67),"Jamil, ","")&amp;IF(AND(ISNUMBER(M67),M67=T67),"Muller, ","")&amp;IF(AND(ISNUMBER(O67),O67=T67),"NMMC, ","")&amp;IF(AND(ISNUMBER(Q67),Q67=T67),"Platinum, ",""))-2))</f>
        <v>Aslam</v>
      </c>
      <c r="V67" s="10" t="n">
        <f aca="false">IF(S67=0,"",T67*F67)</f>
        <v>8133</v>
      </c>
      <c r="W67" s="6"/>
    </row>
    <row r="68" customFormat="false" ht="46.25" hidden="false" customHeight="false" outlineLevel="0" collapsed="false">
      <c r="A68" s="5" t="n">
        <v>63</v>
      </c>
      <c r="B68" s="6" t="s">
        <v>319</v>
      </c>
      <c r="C68" s="6" t="s">
        <v>320</v>
      </c>
      <c r="D68" s="6" t="s">
        <v>321</v>
      </c>
      <c r="E68" s="5" t="s">
        <v>37</v>
      </c>
      <c r="F68" s="5" t="n">
        <v>120</v>
      </c>
      <c r="G68" s="7"/>
      <c r="H68" s="6"/>
      <c r="I68" s="7"/>
      <c r="J68" s="6"/>
      <c r="K68" s="7"/>
      <c r="L68" s="6"/>
      <c r="M68" s="7"/>
      <c r="N68" s="6"/>
      <c r="O68" s="7" t="n">
        <v>179.37</v>
      </c>
      <c r="P68" s="6" t="s">
        <v>322</v>
      </c>
      <c r="Q68" s="7"/>
      <c r="R68" s="6"/>
      <c r="S68" s="5" t="n">
        <f aca="false">COUNT(G68,I68,K68,M68,O68,Q68)</f>
        <v>1</v>
      </c>
      <c r="T68" s="8" t="n">
        <f aca="false">IF(S68=0,"",MIN(G68,I68,K68,M68,O68,Q68))</f>
        <v>179.37</v>
      </c>
      <c r="U68" s="9" t="str">
        <f aca="false">IF(S68=0,"No quote",LEFT(IF(AND(ISNUMBER(G68),G68=T68),"Ahsan, ","")&amp;IF(AND(ISNUMBER(I68),I68=T68),"Aslam, ","")&amp;IF(AND(ISNUMBER(K68),K68=T68),"Jamil, ","")&amp;IF(AND(ISNUMBER(M68),M68=T68),"Muller, ","")&amp;IF(AND(ISNUMBER(O68),O68=T68),"NMMC, ","")&amp;IF(AND(ISNUMBER(Q68),Q68=T68),"Platinum, ",""),LEN(IF(AND(ISNUMBER(G68),G68=T68),"Ahsan, ","")&amp;IF(AND(ISNUMBER(I68),I68=T68),"Aslam, ","")&amp;IF(AND(ISNUMBER(K68),K68=T68),"Jamil, ","")&amp;IF(AND(ISNUMBER(M68),M68=T68),"Muller, ","")&amp;IF(AND(ISNUMBER(O68),O68=T68),"NMMC, ","")&amp;IF(AND(ISNUMBER(Q68),Q68=T68),"Platinum, ",""))-2))</f>
        <v>NMMC</v>
      </c>
      <c r="V68" s="10" t="n">
        <f aca="false">IF(S68=0,"",T68*F68)</f>
        <v>21524.4</v>
      </c>
      <c r="W68" s="6"/>
    </row>
    <row r="69" customFormat="false" ht="23.85" hidden="false" customHeight="false" outlineLevel="0" collapsed="false">
      <c r="A69" s="5" t="n">
        <v>64</v>
      </c>
      <c r="B69" s="6" t="s">
        <v>323</v>
      </c>
      <c r="C69" s="6" t="s">
        <v>324</v>
      </c>
      <c r="D69" s="6" t="s">
        <v>325</v>
      </c>
      <c r="E69" s="5" t="s">
        <v>37</v>
      </c>
      <c r="F69" s="5" t="n">
        <v>25</v>
      </c>
      <c r="G69" s="7"/>
      <c r="H69" s="6"/>
      <c r="I69" s="7" t="n">
        <v>853.56</v>
      </c>
      <c r="J69" s="6" t="s">
        <v>326</v>
      </c>
      <c r="K69" s="7"/>
      <c r="L69" s="6"/>
      <c r="M69" s="7"/>
      <c r="N69" s="6"/>
      <c r="O69" s="7" t="n">
        <v>492.66</v>
      </c>
      <c r="P69" s="6" t="s">
        <v>327</v>
      </c>
      <c r="Q69" s="7"/>
      <c r="R69" s="6"/>
      <c r="S69" s="5" t="n">
        <f aca="false">COUNT(G69,I69,K69,M69,O69,Q69)</f>
        <v>2</v>
      </c>
      <c r="T69" s="8" t="n">
        <f aca="false">IF(S69=0,"",MIN(G69,I69,K69,M69,O69,Q69))</f>
        <v>492.66</v>
      </c>
      <c r="U69" s="9" t="str">
        <f aca="false">IF(S69=0,"No quote",LEFT(IF(AND(ISNUMBER(G69),G69=T69),"Ahsan, ","")&amp;IF(AND(ISNUMBER(I69),I69=T69),"Aslam, ","")&amp;IF(AND(ISNUMBER(K69),K69=T69),"Jamil, ","")&amp;IF(AND(ISNUMBER(M69),M69=T69),"Muller, ","")&amp;IF(AND(ISNUMBER(O69),O69=T69),"NMMC, ","")&amp;IF(AND(ISNUMBER(Q69),Q69=T69),"Platinum, ",""),LEN(IF(AND(ISNUMBER(G69),G69=T69),"Ahsan, ","")&amp;IF(AND(ISNUMBER(I69),I69=T69),"Aslam, ","")&amp;IF(AND(ISNUMBER(K69),K69=T69),"Jamil, ","")&amp;IF(AND(ISNUMBER(M69),M69=T69),"Muller, ","")&amp;IF(AND(ISNUMBER(O69),O69=T69),"NMMC, ","")&amp;IF(AND(ISNUMBER(Q69),Q69=T69),"Platinum, ",""))-2))</f>
        <v>NMMC</v>
      </c>
      <c r="V69" s="10" t="n">
        <f aca="false">IF(S69=0,"",T69*F69)</f>
        <v>12316.5</v>
      </c>
      <c r="W69" s="6"/>
    </row>
    <row r="70" customFormat="false" ht="46.25" hidden="false" customHeight="false" outlineLevel="0" collapsed="false">
      <c r="A70" s="5" t="n">
        <v>65</v>
      </c>
      <c r="B70" s="6" t="s">
        <v>328</v>
      </c>
      <c r="C70" s="6" t="s">
        <v>329</v>
      </c>
      <c r="D70" s="6"/>
      <c r="E70" s="5" t="s">
        <v>37</v>
      </c>
      <c r="F70" s="5" t="n">
        <v>50</v>
      </c>
      <c r="G70" s="7" t="n">
        <v>600.95</v>
      </c>
      <c r="H70" s="6" t="s">
        <v>330</v>
      </c>
      <c r="I70" s="7"/>
      <c r="J70" s="6"/>
      <c r="K70" s="7" t="n">
        <v>617.96</v>
      </c>
      <c r="L70" s="6" t="s">
        <v>331</v>
      </c>
      <c r="M70" s="7"/>
      <c r="N70" s="6"/>
      <c r="O70" s="7"/>
      <c r="P70" s="6"/>
      <c r="Q70" s="7"/>
      <c r="R70" s="6"/>
      <c r="S70" s="5" t="n">
        <f aca="false">COUNT(G70,I70,K70,M70,O70,Q70)</f>
        <v>2</v>
      </c>
      <c r="T70" s="8" t="n">
        <f aca="false">IF(S70=0,"",MIN(G70,I70,K70,M70,O70,Q70))</f>
        <v>600.95</v>
      </c>
      <c r="U70" s="9" t="str">
        <f aca="false">IF(S70=0,"No quote",LEFT(IF(AND(ISNUMBER(G70),G70=T70),"Ahsan, ","")&amp;IF(AND(ISNUMBER(I70),I70=T70),"Aslam, ","")&amp;IF(AND(ISNUMBER(K70),K70=T70),"Jamil, ","")&amp;IF(AND(ISNUMBER(M70),M70=T70),"Muller, ","")&amp;IF(AND(ISNUMBER(O70),O70=T70),"NMMC, ","")&amp;IF(AND(ISNUMBER(Q70),Q70=T70),"Platinum, ",""),LEN(IF(AND(ISNUMBER(G70),G70=T70),"Ahsan, ","")&amp;IF(AND(ISNUMBER(I70),I70=T70),"Aslam, ","")&amp;IF(AND(ISNUMBER(K70),K70=T70),"Jamil, ","")&amp;IF(AND(ISNUMBER(M70),M70=T70),"Muller, ","")&amp;IF(AND(ISNUMBER(O70),O70=T70),"NMMC, ","")&amp;IF(AND(ISNUMBER(Q70),Q70=T70),"Platinum, ",""))-2))</f>
        <v>Ahsan</v>
      </c>
      <c r="V70" s="10" t="n">
        <f aca="false">IF(S70=0,"",T70*F70)</f>
        <v>30047.5</v>
      </c>
      <c r="W70" s="6"/>
    </row>
    <row r="71" customFormat="false" ht="46.25" hidden="false" customHeight="false" outlineLevel="0" collapsed="false">
      <c r="A71" s="5" t="n">
        <v>66</v>
      </c>
      <c r="B71" s="6" t="s">
        <v>332</v>
      </c>
      <c r="C71" s="6" t="s">
        <v>333</v>
      </c>
      <c r="D71" s="6" t="s">
        <v>334</v>
      </c>
      <c r="E71" s="5" t="s">
        <v>37</v>
      </c>
      <c r="F71" s="5" t="n">
        <v>30</v>
      </c>
      <c r="G71" s="7"/>
      <c r="H71" s="6"/>
      <c r="I71" s="7" t="n">
        <v>994.5</v>
      </c>
      <c r="J71" s="6" t="s">
        <v>326</v>
      </c>
      <c r="K71" s="7"/>
      <c r="L71" s="6"/>
      <c r="M71" s="7" t="n">
        <v>586.5</v>
      </c>
      <c r="N71" s="6" t="s">
        <v>335</v>
      </c>
      <c r="O71" s="7"/>
      <c r="P71" s="6"/>
      <c r="Q71" s="7"/>
      <c r="R71" s="6"/>
      <c r="S71" s="5" t="n">
        <f aca="false">COUNT(G71,I71,K71,M71,O71,Q71)</f>
        <v>2</v>
      </c>
      <c r="T71" s="8" t="n">
        <f aca="false">IF(S71=0,"",MIN(G71,I71,K71,M71,O71,Q71))</f>
        <v>586.5</v>
      </c>
      <c r="U71" s="9" t="str">
        <f aca="false">IF(S71=0,"No quote",LEFT(IF(AND(ISNUMBER(G71),G71=T71),"Ahsan, ","")&amp;IF(AND(ISNUMBER(I71),I71=T71),"Aslam, ","")&amp;IF(AND(ISNUMBER(K71),K71=T71),"Jamil, ","")&amp;IF(AND(ISNUMBER(M71),M71=T71),"Muller, ","")&amp;IF(AND(ISNUMBER(O71),O71=T71),"NMMC, ","")&amp;IF(AND(ISNUMBER(Q71),Q71=T71),"Platinum, ",""),LEN(IF(AND(ISNUMBER(G71),G71=T71),"Ahsan, ","")&amp;IF(AND(ISNUMBER(I71),I71=T71),"Aslam, ","")&amp;IF(AND(ISNUMBER(K71),K71=T71),"Jamil, ","")&amp;IF(AND(ISNUMBER(M71),M71=T71),"Muller, ","")&amp;IF(AND(ISNUMBER(O71),O71=T71),"NMMC, ","")&amp;IF(AND(ISNUMBER(Q71),Q71=T71),"Platinum, ",""))-2))</f>
        <v>Muller</v>
      </c>
      <c r="V71" s="10" t="n">
        <f aca="false">IF(S71=0,"",T71*F71)</f>
        <v>17595</v>
      </c>
      <c r="W71" s="6"/>
    </row>
    <row r="72" customFormat="false" ht="23.85" hidden="false" customHeight="false" outlineLevel="0" collapsed="false">
      <c r="A72" s="5" t="n">
        <v>67</v>
      </c>
      <c r="B72" s="6" t="s">
        <v>336</v>
      </c>
      <c r="C72" s="6" t="s">
        <v>337</v>
      </c>
      <c r="D72" s="6" t="s">
        <v>338</v>
      </c>
      <c r="E72" s="5" t="s">
        <v>24</v>
      </c>
      <c r="F72" s="5" t="n">
        <v>200</v>
      </c>
      <c r="G72" s="7"/>
      <c r="H72" s="6"/>
      <c r="I72" s="7" t="n">
        <v>49.24</v>
      </c>
      <c r="J72" s="6" t="s">
        <v>318</v>
      </c>
      <c r="K72" s="7"/>
      <c r="L72" s="6"/>
      <c r="M72" s="7"/>
      <c r="N72" s="6"/>
      <c r="O72" s="7"/>
      <c r="P72" s="6"/>
      <c r="Q72" s="7"/>
      <c r="R72" s="6"/>
      <c r="S72" s="5" t="n">
        <f aca="false">COUNT(G72,I72,K72,M72,O72,Q72)</f>
        <v>1</v>
      </c>
      <c r="T72" s="8" t="n">
        <f aca="false">IF(S72=0,"",MIN(G72,I72,K72,M72,O72,Q72))</f>
        <v>49.24</v>
      </c>
      <c r="U72" s="9" t="str">
        <f aca="false">IF(S72=0,"No quote",LEFT(IF(AND(ISNUMBER(G72),G72=T72),"Ahsan, ","")&amp;IF(AND(ISNUMBER(I72),I72=T72),"Aslam, ","")&amp;IF(AND(ISNUMBER(K72),K72=T72),"Jamil, ","")&amp;IF(AND(ISNUMBER(M72),M72=T72),"Muller, ","")&amp;IF(AND(ISNUMBER(O72),O72=T72),"NMMC, ","")&amp;IF(AND(ISNUMBER(Q72),Q72=T72),"Platinum, ",""),LEN(IF(AND(ISNUMBER(G72),G72=T72),"Ahsan, ","")&amp;IF(AND(ISNUMBER(I72),I72=T72),"Aslam, ","")&amp;IF(AND(ISNUMBER(K72),K72=T72),"Jamil, ","")&amp;IF(AND(ISNUMBER(M72),M72=T72),"Muller, ","")&amp;IF(AND(ISNUMBER(O72),O72=T72),"NMMC, ","")&amp;IF(AND(ISNUMBER(Q72),Q72=T72),"Platinum, ",""))-2))</f>
        <v>Aslam</v>
      </c>
      <c r="V72" s="10" t="n">
        <f aca="false">IF(S72=0,"",T72*F72)</f>
        <v>9848</v>
      </c>
      <c r="W72" s="6"/>
    </row>
    <row r="73" customFormat="false" ht="23.85" hidden="false" customHeight="false" outlineLevel="0" collapsed="false">
      <c r="A73" s="5" t="n">
        <v>68</v>
      </c>
      <c r="B73" s="6" t="s">
        <v>339</v>
      </c>
      <c r="C73" s="6" t="s">
        <v>340</v>
      </c>
      <c r="D73" s="6" t="s">
        <v>341</v>
      </c>
      <c r="E73" s="5" t="s">
        <v>24</v>
      </c>
      <c r="F73" s="5" t="n">
        <v>100</v>
      </c>
      <c r="G73" s="7"/>
      <c r="H73" s="6"/>
      <c r="I73" s="7"/>
      <c r="J73" s="6"/>
      <c r="K73" s="7" t="n">
        <v>86.1</v>
      </c>
      <c r="L73" s="6" t="s">
        <v>342</v>
      </c>
      <c r="M73" s="7"/>
      <c r="N73" s="6"/>
      <c r="O73" s="7"/>
      <c r="P73" s="6"/>
      <c r="Q73" s="7"/>
      <c r="R73" s="6"/>
      <c r="S73" s="5" t="n">
        <f aca="false">COUNT(G73,I73,K73,M73,O73,Q73)</f>
        <v>1</v>
      </c>
      <c r="T73" s="8" t="n">
        <f aca="false">IF(S73=0,"",MIN(G73,I73,K73,M73,O73,Q73))</f>
        <v>86.1</v>
      </c>
      <c r="U73" s="9" t="str">
        <f aca="false">IF(S73=0,"No quote",LEFT(IF(AND(ISNUMBER(G73),G73=T73),"Ahsan, ","")&amp;IF(AND(ISNUMBER(I73),I73=T73),"Aslam, ","")&amp;IF(AND(ISNUMBER(K73),K73=T73),"Jamil, ","")&amp;IF(AND(ISNUMBER(M73),M73=T73),"Muller, ","")&amp;IF(AND(ISNUMBER(O73),O73=T73),"NMMC, ","")&amp;IF(AND(ISNUMBER(Q73),Q73=T73),"Platinum, ",""),LEN(IF(AND(ISNUMBER(G73),G73=T73),"Ahsan, ","")&amp;IF(AND(ISNUMBER(I73),I73=T73),"Aslam, ","")&amp;IF(AND(ISNUMBER(K73),K73=T73),"Jamil, ","")&amp;IF(AND(ISNUMBER(M73),M73=T73),"Muller, ","")&amp;IF(AND(ISNUMBER(O73),O73=T73),"NMMC, ","")&amp;IF(AND(ISNUMBER(Q73),Q73=T73),"Platinum, ",""))-2))</f>
        <v>Jamil</v>
      </c>
      <c r="V73" s="10" t="n">
        <f aca="false">IF(S73=0,"",T73*F73)</f>
        <v>8610</v>
      </c>
      <c r="W73" s="6"/>
    </row>
    <row r="74" customFormat="false" ht="23.85" hidden="false" customHeight="false" outlineLevel="0" collapsed="false">
      <c r="A74" s="5" t="n">
        <v>69</v>
      </c>
      <c r="B74" s="6" t="s">
        <v>343</v>
      </c>
      <c r="C74" s="6" t="s">
        <v>344</v>
      </c>
      <c r="D74" s="6" t="s">
        <v>345</v>
      </c>
      <c r="E74" s="5" t="s">
        <v>37</v>
      </c>
      <c r="F74" s="5" t="n">
        <v>50</v>
      </c>
      <c r="G74" s="7" t="n">
        <v>348.5</v>
      </c>
      <c r="H74" s="6" t="s">
        <v>346</v>
      </c>
      <c r="I74" s="7"/>
      <c r="J74" s="6"/>
      <c r="K74" s="7"/>
      <c r="L74" s="6"/>
      <c r="M74" s="7"/>
      <c r="N74" s="6"/>
      <c r="O74" s="7" t="n">
        <v>226.44</v>
      </c>
      <c r="P74" s="6" t="s">
        <v>347</v>
      </c>
      <c r="Q74" s="7"/>
      <c r="R74" s="6"/>
      <c r="S74" s="5" t="n">
        <f aca="false">COUNT(G74,I74,K74,M74,O74,Q74)</f>
        <v>2</v>
      </c>
      <c r="T74" s="8" t="n">
        <f aca="false">IF(S74=0,"",MIN(G74,I74,K74,M74,O74,Q74))</f>
        <v>226.44</v>
      </c>
      <c r="U74" s="9" t="str">
        <f aca="false">IF(S74=0,"No quote",LEFT(IF(AND(ISNUMBER(G74),G74=T74),"Ahsan, ","")&amp;IF(AND(ISNUMBER(I74),I74=T74),"Aslam, ","")&amp;IF(AND(ISNUMBER(K74),K74=T74),"Jamil, ","")&amp;IF(AND(ISNUMBER(M74),M74=T74),"Muller, ","")&amp;IF(AND(ISNUMBER(O74),O74=T74),"NMMC, ","")&amp;IF(AND(ISNUMBER(Q74),Q74=T74),"Platinum, ",""),LEN(IF(AND(ISNUMBER(G74),G74=T74),"Ahsan, ","")&amp;IF(AND(ISNUMBER(I74),I74=T74),"Aslam, ","")&amp;IF(AND(ISNUMBER(K74),K74=T74),"Jamil, ","")&amp;IF(AND(ISNUMBER(M74),M74=T74),"Muller, ","")&amp;IF(AND(ISNUMBER(O74),O74=T74),"NMMC, ","")&amp;IF(AND(ISNUMBER(Q74),Q74=T74),"Platinum, ",""))-2))</f>
        <v>NMMC</v>
      </c>
      <c r="V74" s="10" t="n">
        <f aca="false">IF(S74=0,"",T74*F74)</f>
        <v>11322</v>
      </c>
      <c r="W74" s="6"/>
    </row>
    <row r="75" customFormat="false" ht="35.05" hidden="false" customHeight="false" outlineLevel="0" collapsed="false">
      <c r="A75" s="5" t="n">
        <v>70</v>
      </c>
      <c r="B75" s="6" t="s">
        <v>348</v>
      </c>
      <c r="C75" s="6" t="s">
        <v>349</v>
      </c>
      <c r="D75" s="6" t="s">
        <v>350</v>
      </c>
      <c r="E75" s="5" t="s">
        <v>37</v>
      </c>
      <c r="F75" s="5" t="n">
        <v>50</v>
      </c>
      <c r="G75" s="7"/>
      <c r="H75" s="6"/>
      <c r="I75" s="7"/>
      <c r="J75" s="6"/>
      <c r="K75" s="7" t="n">
        <v>452.2</v>
      </c>
      <c r="L75" s="6" t="s">
        <v>351</v>
      </c>
      <c r="M75" s="7"/>
      <c r="N75" s="6"/>
      <c r="O75" s="7" t="n">
        <v>764.15</v>
      </c>
      <c r="P75" s="6" t="s">
        <v>352</v>
      </c>
      <c r="Q75" s="7" t="n">
        <v>382.5</v>
      </c>
      <c r="R75" s="6" t="s">
        <v>353</v>
      </c>
      <c r="S75" s="5" t="n">
        <f aca="false">COUNT(G75,I75,K75,M75,O75,Q75)</f>
        <v>3</v>
      </c>
      <c r="T75" s="8" t="n">
        <f aca="false">IF(S75=0,"",MIN(G75,I75,K75,M75,O75,Q75))</f>
        <v>382.5</v>
      </c>
      <c r="U75" s="9" t="str">
        <f aca="false">IF(S75=0,"No quote",LEFT(IF(AND(ISNUMBER(G75),G75=T75),"Ahsan, ","")&amp;IF(AND(ISNUMBER(I75),I75=T75),"Aslam, ","")&amp;IF(AND(ISNUMBER(K75),K75=T75),"Jamil, ","")&amp;IF(AND(ISNUMBER(M75),M75=T75),"Muller, ","")&amp;IF(AND(ISNUMBER(O75),O75=T75),"NMMC, ","")&amp;IF(AND(ISNUMBER(Q75),Q75=T75),"Platinum, ",""),LEN(IF(AND(ISNUMBER(G75),G75=T75),"Ahsan, ","")&amp;IF(AND(ISNUMBER(I75),I75=T75),"Aslam, ","")&amp;IF(AND(ISNUMBER(K75),K75=T75),"Jamil, ","")&amp;IF(AND(ISNUMBER(M75),M75=T75),"Muller, ","")&amp;IF(AND(ISNUMBER(O75),O75=T75),"NMMC, ","")&amp;IF(AND(ISNUMBER(Q75),Q75=T75),"Platinum, ",""))-2))</f>
        <v>Platinum</v>
      </c>
      <c r="V75" s="10" t="n">
        <f aca="false">IF(S75=0,"",T75*F75)</f>
        <v>19125</v>
      </c>
      <c r="W75" s="6"/>
    </row>
    <row r="76" customFormat="false" ht="35.05" hidden="false" customHeight="false" outlineLevel="0" collapsed="false">
      <c r="A76" s="5" t="n">
        <v>71</v>
      </c>
      <c r="B76" s="6" t="s">
        <v>354</v>
      </c>
      <c r="C76" s="6" t="s">
        <v>355</v>
      </c>
      <c r="D76" s="6" t="s">
        <v>356</v>
      </c>
      <c r="E76" s="5" t="s">
        <v>37</v>
      </c>
      <c r="F76" s="5" t="n">
        <v>600</v>
      </c>
      <c r="G76" s="7" t="n">
        <v>272</v>
      </c>
      <c r="H76" s="6" t="s">
        <v>222</v>
      </c>
      <c r="I76" s="7"/>
      <c r="J76" s="6"/>
      <c r="K76" s="7" t="n">
        <v>244.8</v>
      </c>
      <c r="L76" s="6" t="s">
        <v>357</v>
      </c>
      <c r="M76" s="7" t="n">
        <v>1156</v>
      </c>
      <c r="N76" s="6" t="s">
        <v>224</v>
      </c>
      <c r="O76" s="7" t="n">
        <v>223.21</v>
      </c>
      <c r="P76" s="6" t="s">
        <v>358</v>
      </c>
      <c r="Q76" s="7"/>
      <c r="R76" s="6"/>
      <c r="S76" s="5" t="n">
        <f aca="false">COUNT(G76,I76,K76,M76,O76,Q76)</f>
        <v>4</v>
      </c>
      <c r="T76" s="8" t="n">
        <f aca="false">IF(S76=0,"",MIN(G76,I76,K76,M76,O76,Q76))</f>
        <v>223.21</v>
      </c>
      <c r="U76" s="9" t="str">
        <f aca="false">IF(S76=0,"No quote",LEFT(IF(AND(ISNUMBER(G76),G76=T76),"Ahsan, ","")&amp;IF(AND(ISNUMBER(I76),I76=T76),"Aslam, ","")&amp;IF(AND(ISNUMBER(K76),K76=T76),"Jamil, ","")&amp;IF(AND(ISNUMBER(M76),M76=T76),"Muller, ","")&amp;IF(AND(ISNUMBER(O76),O76=T76),"NMMC, ","")&amp;IF(AND(ISNUMBER(Q76),Q76=T76),"Platinum, ",""),LEN(IF(AND(ISNUMBER(G76),G76=T76),"Ahsan, ","")&amp;IF(AND(ISNUMBER(I76),I76=T76),"Aslam, ","")&amp;IF(AND(ISNUMBER(K76),K76=T76),"Jamil, ","")&amp;IF(AND(ISNUMBER(M76),M76=T76),"Muller, ","")&amp;IF(AND(ISNUMBER(O76),O76=T76),"NMMC, ","")&amp;IF(AND(ISNUMBER(Q76),Q76=T76),"Platinum, ",""))-2))</f>
        <v>NMMC</v>
      </c>
      <c r="V76" s="10" t="n">
        <f aca="false">IF(S76=0,"",T76*F76)</f>
        <v>133926</v>
      </c>
      <c r="W76" s="6"/>
    </row>
    <row r="77" customFormat="false" ht="46.25" hidden="false" customHeight="false" outlineLevel="0" collapsed="false">
      <c r="A77" s="5" t="n">
        <v>72</v>
      </c>
      <c r="B77" s="6" t="s">
        <v>359</v>
      </c>
      <c r="C77" s="6" t="s">
        <v>320</v>
      </c>
      <c r="D77" s="6" t="s">
        <v>321</v>
      </c>
      <c r="E77" s="5" t="s">
        <v>37</v>
      </c>
      <c r="F77" s="5" t="n">
        <v>120</v>
      </c>
      <c r="G77" s="7"/>
      <c r="H77" s="6"/>
      <c r="I77" s="7" t="n">
        <v>157.2</v>
      </c>
      <c r="J77" s="6" t="s">
        <v>326</v>
      </c>
      <c r="K77" s="7"/>
      <c r="L77" s="6"/>
      <c r="M77" s="7"/>
      <c r="N77" s="6"/>
      <c r="O77" s="7"/>
      <c r="P77" s="6"/>
      <c r="Q77" s="7"/>
      <c r="R77" s="6"/>
      <c r="S77" s="5" t="n">
        <f aca="false">COUNT(G77,I77,K77,M77,O77,Q77)</f>
        <v>1</v>
      </c>
      <c r="T77" s="8" t="n">
        <f aca="false">IF(S77=0,"",MIN(G77,I77,K77,M77,O77,Q77))</f>
        <v>157.2</v>
      </c>
      <c r="U77" s="9" t="str">
        <f aca="false">IF(S77=0,"No quote",LEFT(IF(AND(ISNUMBER(G77),G77=T77),"Ahsan, ","")&amp;IF(AND(ISNUMBER(I77),I77=T77),"Aslam, ","")&amp;IF(AND(ISNUMBER(K77),K77=T77),"Jamil, ","")&amp;IF(AND(ISNUMBER(M77),M77=T77),"Muller, ","")&amp;IF(AND(ISNUMBER(O77),O77=T77),"NMMC, ","")&amp;IF(AND(ISNUMBER(Q77),Q77=T77),"Platinum, ",""),LEN(IF(AND(ISNUMBER(G77),G77=T77),"Ahsan, ","")&amp;IF(AND(ISNUMBER(I77),I77=T77),"Aslam, ","")&amp;IF(AND(ISNUMBER(K77),K77=T77),"Jamil, ","")&amp;IF(AND(ISNUMBER(M77),M77=T77),"Muller, ","")&amp;IF(AND(ISNUMBER(O77),O77=T77),"NMMC, ","")&amp;IF(AND(ISNUMBER(Q77),Q77=T77),"Platinum, ",""))-2))</f>
        <v>Aslam</v>
      </c>
      <c r="V77" s="10" t="n">
        <f aca="false">IF(S77=0,"",T77*F77)</f>
        <v>18864</v>
      </c>
      <c r="W77" s="6"/>
    </row>
    <row r="78" customFormat="false" ht="46.25" hidden="false" customHeight="false" outlineLevel="0" collapsed="false">
      <c r="A78" s="5" t="n">
        <v>73</v>
      </c>
      <c r="B78" s="6" t="s">
        <v>360</v>
      </c>
      <c r="C78" s="6" t="s">
        <v>361</v>
      </c>
      <c r="D78" s="6" t="s">
        <v>362</v>
      </c>
      <c r="E78" s="5" t="s">
        <v>37</v>
      </c>
      <c r="F78" s="5" t="n">
        <v>150</v>
      </c>
      <c r="G78" s="7"/>
      <c r="H78" s="6"/>
      <c r="I78" s="7"/>
      <c r="J78" s="6"/>
      <c r="K78" s="7"/>
      <c r="L78" s="6"/>
      <c r="M78" s="7" t="n">
        <v>565.25</v>
      </c>
      <c r="N78" s="6" t="s">
        <v>363</v>
      </c>
      <c r="O78" s="7" t="n">
        <v>578</v>
      </c>
      <c r="P78" s="6" t="s">
        <v>364</v>
      </c>
      <c r="Q78" s="7"/>
      <c r="R78" s="6"/>
      <c r="S78" s="5" t="n">
        <f aca="false">COUNT(G78,I78,K78,M78,O78,Q78)</f>
        <v>2</v>
      </c>
      <c r="T78" s="8" t="n">
        <f aca="false">IF(S78=0,"",MIN(G78,I78,K78,M78,O78,Q78))</f>
        <v>565.25</v>
      </c>
      <c r="U78" s="9" t="str">
        <f aca="false">IF(S78=0,"No quote",LEFT(IF(AND(ISNUMBER(G78),G78=T78),"Ahsan, ","")&amp;IF(AND(ISNUMBER(I78),I78=T78),"Aslam, ","")&amp;IF(AND(ISNUMBER(K78),K78=T78),"Jamil, ","")&amp;IF(AND(ISNUMBER(M78),M78=T78),"Muller, ","")&amp;IF(AND(ISNUMBER(O78),O78=T78),"NMMC, ","")&amp;IF(AND(ISNUMBER(Q78),Q78=T78),"Platinum, ",""),LEN(IF(AND(ISNUMBER(G78),G78=T78),"Ahsan, ","")&amp;IF(AND(ISNUMBER(I78),I78=T78),"Aslam, ","")&amp;IF(AND(ISNUMBER(K78),K78=T78),"Jamil, ","")&amp;IF(AND(ISNUMBER(M78),M78=T78),"Muller, ","")&amp;IF(AND(ISNUMBER(O78),O78=T78),"NMMC, ","")&amp;IF(AND(ISNUMBER(Q78),Q78=T78),"Platinum, ",""))-2))</f>
        <v>Muller</v>
      </c>
      <c r="V78" s="10" t="n">
        <f aca="false">IF(S78=0,"",T78*F78)</f>
        <v>84787.5</v>
      </c>
      <c r="W78" s="6"/>
    </row>
    <row r="79" customFormat="false" ht="46.25" hidden="false" customHeight="false" outlineLevel="0" collapsed="false">
      <c r="A79" s="5" t="n">
        <v>74</v>
      </c>
      <c r="B79" s="6" t="s">
        <v>365</v>
      </c>
      <c r="C79" s="6" t="s">
        <v>366</v>
      </c>
      <c r="D79" s="6" t="s">
        <v>367</v>
      </c>
      <c r="E79" s="5" t="s">
        <v>37</v>
      </c>
      <c r="F79" s="5" t="n">
        <v>50</v>
      </c>
      <c r="G79" s="7" t="n">
        <v>417.35</v>
      </c>
      <c r="H79" s="6" t="s">
        <v>368</v>
      </c>
      <c r="I79" s="7"/>
      <c r="J79" s="6"/>
      <c r="K79" s="7"/>
      <c r="L79" s="6"/>
      <c r="M79" s="7" t="n">
        <v>336.52</v>
      </c>
      <c r="N79" s="6" t="s">
        <v>369</v>
      </c>
      <c r="O79" s="7" t="n">
        <v>221</v>
      </c>
      <c r="P79" s="6" t="s">
        <v>370</v>
      </c>
      <c r="Q79" s="7"/>
      <c r="R79" s="6"/>
      <c r="S79" s="5" t="n">
        <f aca="false">COUNT(G79,I79,K79,M79,O79,Q79)</f>
        <v>3</v>
      </c>
      <c r="T79" s="8" t="n">
        <f aca="false">IF(S79=0,"",MIN(G79,I79,K79,M79,O79,Q79))</f>
        <v>221</v>
      </c>
      <c r="U79" s="9" t="str">
        <f aca="false">IF(S79=0,"No quote",LEFT(IF(AND(ISNUMBER(G79),G79=T79),"Ahsan, ","")&amp;IF(AND(ISNUMBER(I79),I79=T79),"Aslam, ","")&amp;IF(AND(ISNUMBER(K79),K79=T79),"Jamil, ","")&amp;IF(AND(ISNUMBER(M79),M79=T79),"Muller, ","")&amp;IF(AND(ISNUMBER(O79),O79=T79),"NMMC, ","")&amp;IF(AND(ISNUMBER(Q79),Q79=T79),"Platinum, ",""),LEN(IF(AND(ISNUMBER(G79),G79=T79),"Ahsan, ","")&amp;IF(AND(ISNUMBER(I79),I79=T79),"Aslam, ","")&amp;IF(AND(ISNUMBER(K79),K79=T79),"Jamil, ","")&amp;IF(AND(ISNUMBER(M79),M79=T79),"Muller, ","")&amp;IF(AND(ISNUMBER(O79),O79=T79),"NMMC, ","")&amp;IF(AND(ISNUMBER(Q79),Q79=T79),"Platinum, ",""))-2))</f>
        <v>NMMC</v>
      </c>
      <c r="V79" s="10" t="n">
        <f aca="false">IF(S79=0,"",T79*F79)</f>
        <v>11050</v>
      </c>
      <c r="W79" s="6"/>
    </row>
    <row r="80" customFormat="false" ht="23.85" hidden="false" customHeight="false" outlineLevel="0" collapsed="false">
      <c r="A80" s="5" t="n">
        <v>75</v>
      </c>
      <c r="B80" s="6" t="s">
        <v>371</v>
      </c>
      <c r="C80" s="6" t="s">
        <v>372</v>
      </c>
      <c r="D80" s="6" t="s">
        <v>373</v>
      </c>
      <c r="E80" s="5" t="s">
        <v>24</v>
      </c>
      <c r="F80" s="5" t="n">
        <v>100</v>
      </c>
      <c r="G80" s="7"/>
      <c r="H80" s="6"/>
      <c r="I80" s="7"/>
      <c r="J80" s="6"/>
      <c r="K80" s="7"/>
      <c r="L80" s="6"/>
      <c r="M80" s="7"/>
      <c r="N80" s="6"/>
      <c r="O80" s="7" t="n">
        <v>198.14</v>
      </c>
      <c r="P80" s="6" t="s">
        <v>374</v>
      </c>
      <c r="Q80" s="7"/>
      <c r="R80" s="6"/>
      <c r="S80" s="5" t="n">
        <f aca="false">COUNT(G80,I80,K80,M80,O80,Q80)</f>
        <v>1</v>
      </c>
      <c r="T80" s="8" t="n">
        <f aca="false">IF(S80=0,"",MIN(G80,I80,K80,M80,O80,Q80))</f>
        <v>198.14</v>
      </c>
      <c r="U80" s="9" t="str">
        <f aca="false">IF(S80=0,"No quote",LEFT(IF(AND(ISNUMBER(G80),G80=T80),"Ahsan, ","")&amp;IF(AND(ISNUMBER(I80),I80=T80),"Aslam, ","")&amp;IF(AND(ISNUMBER(K80),K80=T80),"Jamil, ","")&amp;IF(AND(ISNUMBER(M80),M80=T80),"Muller, ","")&amp;IF(AND(ISNUMBER(O80),O80=T80),"NMMC, ","")&amp;IF(AND(ISNUMBER(Q80),Q80=T80),"Platinum, ",""),LEN(IF(AND(ISNUMBER(G80),G80=T80),"Ahsan, ","")&amp;IF(AND(ISNUMBER(I80),I80=T80),"Aslam, ","")&amp;IF(AND(ISNUMBER(K80),K80=T80),"Jamil, ","")&amp;IF(AND(ISNUMBER(M80),M80=T80),"Muller, ","")&amp;IF(AND(ISNUMBER(O80),O80=T80),"NMMC, ","")&amp;IF(AND(ISNUMBER(Q80),Q80=T80),"Platinum, ",""))-2))</f>
        <v>NMMC</v>
      </c>
      <c r="V80" s="10" t="n">
        <f aca="false">IF(S80=0,"",T80*F80)</f>
        <v>19814</v>
      </c>
      <c r="W80" s="6"/>
    </row>
    <row r="81" customFormat="false" ht="46.25" hidden="false" customHeight="false" outlineLevel="0" collapsed="false">
      <c r="A81" s="5" t="n">
        <v>76</v>
      </c>
      <c r="B81" s="6" t="s">
        <v>375</v>
      </c>
      <c r="C81" s="6" t="s">
        <v>376</v>
      </c>
      <c r="D81" s="6" t="s">
        <v>377</v>
      </c>
      <c r="E81" s="5" t="s">
        <v>37</v>
      </c>
      <c r="F81" s="5" t="n">
        <v>500</v>
      </c>
      <c r="G81" s="7"/>
      <c r="H81" s="6"/>
      <c r="I81" s="7" t="n">
        <v>1440.67</v>
      </c>
      <c r="J81" s="6" t="s">
        <v>57</v>
      </c>
      <c r="K81" s="7" t="n">
        <v>390.15</v>
      </c>
      <c r="L81" s="6" t="s">
        <v>378</v>
      </c>
      <c r="M81" s="7" t="n">
        <v>786.11</v>
      </c>
      <c r="N81" s="6" t="s">
        <v>379</v>
      </c>
      <c r="O81" s="7" t="n">
        <v>427.98</v>
      </c>
      <c r="P81" s="6" t="s">
        <v>380</v>
      </c>
      <c r="Q81" s="7"/>
      <c r="R81" s="6"/>
      <c r="S81" s="5" t="n">
        <f aca="false">COUNT(G81,I81,K81,M81,O81,Q81)</f>
        <v>4</v>
      </c>
      <c r="T81" s="8" t="n">
        <f aca="false">IF(S81=0,"",MIN(G81,I81,K81,M81,O81,Q81))</f>
        <v>390.15</v>
      </c>
      <c r="U81" s="9" t="str">
        <f aca="false">IF(S81=0,"No quote",LEFT(IF(AND(ISNUMBER(G81),G81=T81),"Ahsan, ","")&amp;IF(AND(ISNUMBER(I81),I81=T81),"Aslam, ","")&amp;IF(AND(ISNUMBER(K81),K81=T81),"Jamil, ","")&amp;IF(AND(ISNUMBER(M81),M81=T81),"Muller, ","")&amp;IF(AND(ISNUMBER(O81),O81=T81),"NMMC, ","")&amp;IF(AND(ISNUMBER(Q81),Q81=T81),"Platinum, ",""),LEN(IF(AND(ISNUMBER(G81),G81=T81),"Ahsan, ","")&amp;IF(AND(ISNUMBER(I81),I81=T81),"Aslam, ","")&amp;IF(AND(ISNUMBER(K81),K81=T81),"Jamil, ","")&amp;IF(AND(ISNUMBER(M81),M81=T81),"Muller, ","")&amp;IF(AND(ISNUMBER(O81),O81=T81),"NMMC, ","")&amp;IF(AND(ISNUMBER(Q81),Q81=T81),"Platinum, ",""))-2))</f>
        <v>Jamil</v>
      </c>
      <c r="V81" s="10" t="n">
        <f aca="false">IF(S81=0,"",T81*F81)</f>
        <v>195075</v>
      </c>
      <c r="W81" s="6"/>
    </row>
    <row r="82" customFormat="false" ht="35.05" hidden="false" customHeight="false" outlineLevel="0" collapsed="false">
      <c r="A82" s="5" t="n">
        <v>77</v>
      </c>
      <c r="B82" s="6" t="s">
        <v>381</v>
      </c>
      <c r="C82" s="6" t="s">
        <v>382</v>
      </c>
      <c r="D82" s="6" t="s">
        <v>383</v>
      </c>
      <c r="E82" s="5" t="s">
        <v>37</v>
      </c>
      <c r="F82" s="5" t="n">
        <v>150</v>
      </c>
      <c r="G82" s="7" t="n">
        <v>310.25</v>
      </c>
      <c r="H82" s="6" t="s">
        <v>384</v>
      </c>
      <c r="I82" s="7"/>
      <c r="J82" s="6"/>
      <c r="K82" s="7"/>
      <c r="L82" s="6"/>
      <c r="M82" s="7" t="n">
        <v>561</v>
      </c>
      <c r="N82" s="6" t="s">
        <v>385</v>
      </c>
      <c r="O82" s="7" t="n">
        <v>408</v>
      </c>
      <c r="P82" s="6" t="s">
        <v>386</v>
      </c>
      <c r="Q82" s="7"/>
      <c r="R82" s="6"/>
      <c r="S82" s="5" t="n">
        <f aca="false">COUNT(G82,I82,K82,M82,O82,Q82)</f>
        <v>3</v>
      </c>
      <c r="T82" s="8" t="n">
        <f aca="false">IF(S82=0,"",MIN(G82,I82,K82,M82,O82,Q82))</f>
        <v>310.25</v>
      </c>
      <c r="U82" s="9" t="str">
        <f aca="false">IF(S82=0,"No quote",LEFT(IF(AND(ISNUMBER(G82),G82=T82),"Ahsan, ","")&amp;IF(AND(ISNUMBER(I82),I82=T82),"Aslam, ","")&amp;IF(AND(ISNUMBER(K82),K82=T82),"Jamil, ","")&amp;IF(AND(ISNUMBER(M82),M82=T82),"Muller, ","")&amp;IF(AND(ISNUMBER(O82),O82=T82),"NMMC, ","")&amp;IF(AND(ISNUMBER(Q82),Q82=T82),"Platinum, ",""),LEN(IF(AND(ISNUMBER(G82),G82=T82),"Ahsan, ","")&amp;IF(AND(ISNUMBER(I82),I82=T82),"Aslam, ","")&amp;IF(AND(ISNUMBER(K82),K82=T82),"Jamil, ","")&amp;IF(AND(ISNUMBER(M82),M82=T82),"Muller, ","")&amp;IF(AND(ISNUMBER(O82),O82=T82),"NMMC, ","")&amp;IF(AND(ISNUMBER(Q82),Q82=T82),"Platinum, ",""))-2))</f>
        <v>Ahsan</v>
      </c>
      <c r="V82" s="10" t="n">
        <f aca="false">IF(S82=0,"",T82*F82)</f>
        <v>46537.5</v>
      </c>
      <c r="W82" s="6"/>
    </row>
    <row r="83" customFormat="false" ht="35.05" hidden="false" customHeight="false" outlineLevel="0" collapsed="false">
      <c r="A83" s="5" t="n">
        <v>78</v>
      </c>
      <c r="B83" s="6" t="s">
        <v>387</v>
      </c>
      <c r="C83" s="6" t="s">
        <v>388</v>
      </c>
      <c r="D83" s="6" t="s">
        <v>389</v>
      </c>
      <c r="E83" s="5" t="s">
        <v>37</v>
      </c>
      <c r="F83" s="5" t="n">
        <v>150</v>
      </c>
      <c r="G83" s="7"/>
      <c r="H83" s="6"/>
      <c r="I83" s="7"/>
      <c r="J83" s="6"/>
      <c r="K83" s="7"/>
      <c r="L83" s="6"/>
      <c r="M83" s="7" t="n">
        <v>439.45</v>
      </c>
      <c r="N83" s="6" t="s">
        <v>390</v>
      </c>
      <c r="O83" s="7" t="n">
        <v>138.73</v>
      </c>
      <c r="P83" s="6" t="s">
        <v>391</v>
      </c>
      <c r="Q83" s="7"/>
      <c r="R83" s="6"/>
      <c r="S83" s="5" t="n">
        <f aca="false">COUNT(G83,I83,K83,M83,O83,Q83)</f>
        <v>2</v>
      </c>
      <c r="T83" s="8" t="n">
        <f aca="false">IF(S83=0,"",MIN(G83,I83,K83,M83,O83,Q83))</f>
        <v>138.73</v>
      </c>
      <c r="U83" s="9" t="str">
        <f aca="false">IF(S83=0,"No quote",LEFT(IF(AND(ISNUMBER(G83),G83=T83),"Ahsan, ","")&amp;IF(AND(ISNUMBER(I83),I83=T83),"Aslam, ","")&amp;IF(AND(ISNUMBER(K83),K83=T83),"Jamil, ","")&amp;IF(AND(ISNUMBER(M83),M83=T83),"Muller, ","")&amp;IF(AND(ISNUMBER(O83),O83=T83),"NMMC, ","")&amp;IF(AND(ISNUMBER(Q83),Q83=T83),"Platinum, ",""),LEN(IF(AND(ISNUMBER(G83),G83=T83),"Ahsan, ","")&amp;IF(AND(ISNUMBER(I83),I83=T83),"Aslam, ","")&amp;IF(AND(ISNUMBER(K83),K83=T83),"Jamil, ","")&amp;IF(AND(ISNUMBER(M83),M83=T83),"Muller, ","")&amp;IF(AND(ISNUMBER(O83),O83=T83),"NMMC, ","")&amp;IF(AND(ISNUMBER(Q83),Q83=T83),"Platinum, ",""))-2))</f>
        <v>NMMC</v>
      </c>
      <c r="V83" s="10" t="n">
        <f aca="false">IF(S83=0,"",T83*F83)</f>
        <v>20809.5</v>
      </c>
      <c r="W83" s="6"/>
    </row>
    <row r="84" customFormat="false" ht="46.25" hidden="false" customHeight="false" outlineLevel="0" collapsed="false">
      <c r="A84" s="5" t="n">
        <v>79</v>
      </c>
      <c r="B84" s="6" t="s">
        <v>392</v>
      </c>
      <c r="C84" s="6" t="s">
        <v>393</v>
      </c>
      <c r="D84" s="6" t="s">
        <v>394</v>
      </c>
      <c r="E84" s="5" t="s">
        <v>37</v>
      </c>
      <c r="F84" s="5" t="n">
        <v>450</v>
      </c>
      <c r="G84" s="7" t="n">
        <v>204</v>
      </c>
      <c r="H84" s="6" t="s">
        <v>384</v>
      </c>
      <c r="I84" s="7"/>
      <c r="J84" s="6"/>
      <c r="K84" s="7"/>
      <c r="L84" s="6"/>
      <c r="M84" s="7" t="n">
        <v>357</v>
      </c>
      <c r="N84" s="6" t="s">
        <v>385</v>
      </c>
      <c r="O84" s="7" t="n">
        <v>229.075</v>
      </c>
      <c r="P84" s="6" t="s">
        <v>395</v>
      </c>
      <c r="Q84" s="7" t="n">
        <v>208.08</v>
      </c>
      <c r="R84" s="6" t="s">
        <v>396</v>
      </c>
      <c r="S84" s="5" t="n">
        <f aca="false">COUNT(G84,I84,K84,M84,O84,Q84)</f>
        <v>4</v>
      </c>
      <c r="T84" s="8" t="n">
        <f aca="false">IF(S84=0,"",MIN(G84,I84,K84,M84,O84,Q84))</f>
        <v>204</v>
      </c>
      <c r="U84" s="9" t="str">
        <f aca="false">IF(S84=0,"No quote",LEFT(IF(AND(ISNUMBER(G84),G84=T84),"Ahsan, ","")&amp;IF(AND(ISNUMBER(I84),I84=T84),"Aslam, ","")&amp;IF(AND(ISNUMBER(K84),K84=T84),"Jamil, ","")&amp;IF(AND(ISNUMBER(M84),M84=T84),"Muller, ","")&amp;IF(AND(ISNUMBER(O84),O84=T84),"NMMC, ","")&amp;IF(AND(ISNUMBER(Q84),Q84=T84),"Platinum, ",""),LEN(IF(AND(ISNUMBER(G84),G84=T84),"Ahsan, ","")&amp;IF(AND(ISNUMBER(I84),I84=T84),"Aslam, ","")&amp;IF(AND(ISNUMBER(K84),K84=T84),"Jamil, ","")&amp;IF(AND(ISNUMBER(M84),M84=T84),"Muller, ","")&amp;IF(AND(ISNUMBER(O84),O84=T84),"NMMC, ","")&amp;IF(AND(ISNUMBER(Q84),Q84=T84),"Platinum, ",""))-2))</f>
        <v>Ahsan</v>
      </c>
      <c r="V84" s="10" t="n">
        <f aca="false">IF(S84=0,"",T84*F84)</f>
        <v>91800</v>
      </c>
      <c r="W84" s="6"/>
    </row>
    <row r="85" customFormat="false" ht="15" hidden="false" customHeight="false" outlineLevel="0" collapsed="false">
      <c r="A85" s="5" t="n">
        <v>80</v>
      </c>
      <c r="B85" s="6" t="s">
        <v>397</v>
      </c>
      <c r="C85" s="6" t="s">
        <v>398</v>
      </c>
      <c r="D85" s="6" t="s">
        <v>399</v>
      </c>
      <c r="E85" s="5" t="s">
        <v>37</v>
      </c>
      <c r="F85" s="5" t="n">
        <v>50</v>
      </c>
      <c r="G85" s="7"/>
      <c r="H85" s="6"/>
      <c r="I85" s="7"/>
      <c r="J85" s="6"/>
      <c r="K85" s="7"/>
      <c r="L85" s="6"/>
      <c r="M85" s="7"/>
      <c r="N85" s="6"/>
      <c r="O85" s="7"/>
      <c r="P85" s="6"/>
      <c r="Q85" s="7"/>
      <c r="R85" s="6"/>
      <c r="S85" s="5" t="n">
        <f aca="false">COUNT(G85,I85,K85,M85,O85,Q85)</f>
        <v>0</v>
      </c>
      <c r="T85" s="8" t="str">
        <f aca="false">IF(S85=0,"",MIN(G85,I85,K85,M85,O85,Q85))</f>
        <v/>
      </c>
      <c r="U85" s="9" t="str">
        <f aca="false">IF(S85=0,"No quote",LEFT(IF(AND(ISNUMBER(G85),G85=T85),"Ahsan, ","")&amp;IF(AND(ISNUMBER(I85),I85=T85),"Aslam, ","")&amp;IF(AND(ISNUMBER(K85),K85=T85),"Jamil, ","")&amp;IF(AND(ISNUMBER(M85),M85=T85),"Muller, ","")&amp;IF(AND(ISNUMBER(O85),O85=T85),"NMMC, ","")&amp;IF(AND(ISNUMBER(Q85),Q85=T85),"Platinum, ",""),LEN(IF(AND(ISNUMBER(G85),G85=T85),"Ahsan, ","")&amp;IF(AND(ISNUMBER(I85),I85=T85),"Aslam, ","")&amp;IF(AND(ISNUMBER(K85),K85=T85),"Jamil, ","")&amp;IF(AND(ISNUMBER(M85),M85=T85),"Muller, ","")&amp;IF(AND(ISNUMBER(O85),O85=T85),"NMMC, ","")&amp;IF(AND(ISNUMBER(Q85),Q85=T85),"Platinum, ",""))-2))</f>
        <v>No quote</v>
      </c>
      <c r="V85" s="10" t="str">
        <f aca="false">IF(S85=0,"",T85*F85)</f>
        <v/>
      </c>
      <c r="W85" s="6"/>
    </row>
    <row r="86" customFormat="false" ht="23.85" hidden="false" customHeight="false" outlineLevel="0" collapsed="false">
      <c r="A86" s="5" t="n">
        <v>81</v>
      </c>
      <c r="B86" s="6" t="s">
        <v>400</v>
      </c>
      <c r="C86" s="6" t="s">
        <v>401</v>
      </c>
      <c r="D86" s="6" t="s">
        <v>402</v>
      </c>
      <c r="E86" s="5" t="s">
        <v>37</v>
      </c>
      <c r="F86" s="5" t="n">
        <v>100</v>
      </c>
      <c r="G86" s="7"/>
      <c r="H86" s="6"/>
      <c r="I86" s="7"/>
      <c r="J86" s="6"/>
      <c r="K86" s="7" t="n">
        <v>1211.25</v>
      </c>
      <c r="L86" s="6" t="s">
        <v>403</v>
      </c>
      <c r="M86" s="7"/>
      <c r="N86" s="6"/>
      <c r="O86" s="7"/>
      <c r="P86" s="6"/>
      <c r="Q86" s="7"/>
      <c r="R86" s="6"/>
      <c r="S86" s="5" t="n">
        <f aca="false">COUNT(G86,I86,K86,M86,O86,Q86)</f>
        <v>1</v>
      </c>
      <c r="T86" s="8" t="n">
        <f aca="false">IF(S86=0,"",MIN(G86,I86,K86,M86,O86,Q86))</f>
        <v>1211.25</v>
      </c>
      <c r="U86" s="9" t="str">
        <f aca="false">IF(S86=0,"No quote",LEFT(IF(AND(ISNUMBER(G86),G86=T86),"Ahsan, ","")&amp;IF(AND(ISNUMBER(I86),I86=T86),"Aslam, ","")&amp;IF(AND(ISNUMBER(K86),K86=T86),"Jamil, ","")&amp;IF(AND(ISNUMBER(M86),M86=T86),"Muller, ","")&amp;IF(AND(ISNUMBER(O86),O86=T86),"NMMC, ","")&amp;IF(AND(ISNUMBER(Q86),Q86=T86),"Platinum, ",""),LEN(IF(AND(ISNUMBER(G86),G86=T86),"Ahsan, ","")&amp;IF(AND(ISNUMBER(I86),I86=T86),"Aslam, ","")&amp;IF(AND(ISNUMBER(K86),K86=T86),"Jamil, ","")&amp;IF(AND(ISNUMBER(M86),M86=T86),"Muller, ","")&amp;IF(AND(ISNUMBER(O86),O86=T86),"NMMC, ","")&amp;IF(AND(ISNUMBER(Q86),Q86=T86),"Platinum, ",""))-2))</f>
        <v>Jamil</v>
      </c>
      <c r="V86" s="10" t="n">
        <f aca="false">IF(S86=0,"",T86*F86)</f>
        <v>121125</v>
      </c>
      <c r="W86" s="6"/>
    </row>
    <row r="87" customFormat="false" ht="23.85" hidden="false" customHeight="false" outlineLevel="0" collapsed="false">
      <c r="A87" s="5" t="n">
        <v>82</v>
      </c>
      <c r="B87" s="6" t="s">
        <v>404</v>
      </c>
      <c r="C87" s="6" t="s">
        <v>405</v>
      </c>
      <c r="D87" s="6" t="s">
        <v>406</v>
      </c>
      <c r="E87" s="5" t="s">
        <v>37</v>
      </c>
      <c r="F87" s="5" t="n">
        <v>150</v>
      </c>
      <c r="G87" s="7"/>
      <c r="H87" s="6"/>
      <c r="I87" s="7"/>
      <c r="J87" s="6"/>
      <c r="K87" s="7"/>
      <c r="L87" s="6"/>
      <c r="M87" s="7"/>
      <c r="N87" s="6"/>
      <c r="O87" s="7"/>
      <c r="P87" s="6"/>
      <c r="Q87" s="7"/>
      <c r="R87" s="6"/>
      <c r="S87" s="5" t="n">
        <f aca="false">COUNT(G87,I87,K87,M87,O87,Q87)</f>
        <v>0</v>
      </c>
      <c r="T87" s="8" t="str">
        <f aca="false">IF(S87=0,"",MIN(G87,I87,K87,M87,O87,Q87))</f>
        <v/>
      </c>
      <c r="U87" s="9" t="str">
        <f aca="false">IF(S87=0,"No quote",LEFT(IF(AND(ISNUMBER(G87),G87=T87),"Ahsan, ","")&amp;IF(AND(ISNUMBER(I87),I87=T87),"Aslam, ","")&amp;IF(AND(ISNUMBER(K87),K87=T87),"Jamil, ","")&amp;IF(AND(ISNUMBER(M87),M87=T87),"Muller, ","")&amp;IF(AND(ISNUMBER(O87),O87=T87),"NMMC, ","")&amp;IF(AND(ISNUMBER(Q87),Q87=T87),"Platinum, ",""),LEN(IF(AND(ISNUMBER(G87),G87=T87),"Ahsan, ","")&amp;IF(AND(ISNUMBER(I87),I87=T87),"Aslam, ","")&amp;IF(AND(ISNUMBER(K87),K87=T87),"Jamil, ","")&amp;IF(AND(ISNUMBER(M87),M87=T87),"Muller, ","")&amp;IF(AND(ISNUMBER(O87),O87=T87),"NMMC, ","")&amp;IF(AND(ISNUMBER(Q87),Q87=T87),"Platinum, ",""))-2))</f>
        <v>No quote</v>
      </c>
      <c r="V87" s="10" t="str">
        <f aca="false">IF(S87=0,"",T87*F87)</f>
        <v/>
      </c>
      <c r="W87" s="6"/>
    </row>
    <row r="88" customFormat="false" ht="46.25" hidden="false" customHeight="false" outlineLevel="0" collapsed="false">
      <c r="A88" s="5" t="n">
        <v>83</v>
      </c>
      <c r="B88" s="6" t="s">
        <v>407</v>
      </c>
      <c r="C88" s="6" t="s">
        <v>408</v>
      </c>
      <c r="D88" s="6" t="s">
        <v>409</v>
      </c>
      <c r="E88" s="5" t="s">
        <v>37</v>
      </c>
      <c r="F88" s="5" t="n">
        <v>400</v>
      </c>
      <c r="G88" s="7" t="n">
        <v>650.25</v>
      </c>
      <c r="H88" s="6" t="s">
        <v>410</v>
      </c>
      <c r="I88" s="7"/>
      <c r="J88" s="6"/>
      <c r="K88" s="7"/>
      <c r="L88" s="6"/>
      <c r="M88" s="7" t="n">
        <v>660.96</v>
      </c>
      <c r="N88" s="6" t="s">
        <v>411</v>
      </c>
      <c r="O88" s="7" t="n">
        <v>531.08</v>
      </c>
      <c r="P88" s="6" t="s">
        <v>412</v>
      </c>
      <c r="Q88" s="7"/>
      <c r="R88" s="6"/>
      <c r="S88" s="5" t="n">
        <f aca="false">COUNT(G88,I88,K88,M88,O88,Q88)</f>
        <v>3</v>
      </c>
      <c r="T88" s="8" t="n">
        <f aca="false">IF(S88=0,"",MIN(G88,I88,K88,M88,O88,Q88))</f>
        <v>531.08</v>
      </c>
      <c r="U88" s="9" t="str">
        <f aca="false">IF(S88=0,"No quote",LEFT(IF(AND(ISNUMBER(G88),G88=T88),"Ahsan, ","")&amp;IF(AND(ISNUMBER(I88),I88=T88),"Aslam, ","")&amp;IF(AND(ISNUMBER(K88),K88=T88),"Jamil, ","")&amp;IF(AND(ISNUMBER(M88),M88=T88),"Muller, ","")&amp;IF(AND(ISNUMBER(O88),O88=T88),"NMMC, ","")&amp;IF(AND(ISNUMBER(Q88),Q88=T88),"Platinum, ",""),LEN(IF(AND(ISNUMBER(G88),G88=T88),"Ahsan, ","")&amp;IF(AND(ISNUMBER(I88),I88=T88),"Aslam, ","")&amp;IF(AND(ISNUMBER(K88),K88=T88),"Jamil, ","")&amp;IF(AND(ISNUMBER(M88),M88=T88),"Muller, ","")&amp;IF(AND(ISNUMBER(O88),O88=T88),"NMMC, ","")&amp;IF(AND(ISNUMBER(Q88),Q88=T88),"Platinum, ",""))-2))</f>
        <v>NMMC</v>
      </c>
      <c r="V88" s="10" t="n">
        <f aca="false">IF(S88=0,"",T88*F88)</f>
        <v>212432</v>
      </c>
      <c r="W88" s="6"/>
    </row>
    <row r="89" customFormat="false" ht="46.25" hidden="false" customHeight="false" outlineLevel="0" collapsed="false">
      <c r="A89" s="5" t="n">
        <v>84</v>
      </c>
      <c r="B89" s="6" t="s">
        <v>413</v>
      </c>
      <c r="C89" s="6" t="s">
        <v>414</v>
      </c>
      <c r="D89" s="6" t="s">
        <v>415</v>
      </c>
      <c r="E89" s="5" t="s">
        <v>37</v>
      </c>
      <c r="F89" s="5" t="n">
        <v>300</v>
      </c>
      <c r="G89" s="7" t="n">
        <v>378.25</v>
      </c>
      <c r="H89" s="6" t="s">
        <v>416</v>
      </c>
      <c r="I89" s="7"/>
      <c r="J89" s="6"/>
      <c r="K89" s="7"/>
      <c r="L89" s="6"/>
      <c r="M89" s="7" t="n">
        <v>617.185</v>
      </c>
      <c r="N89" s="6" t="s">
        <v>417</v>
      </c>
      <c r="O89" s="7" t="n">
        <v>145.35</v>
      </c>
      <c r="P89" s="6" t="s">
        <v>418</v>
      </c>
      <c r="Q89" s="7"/>
      <c r="R89" s="6"/>
      <c r="S89" s="5" t="n">
        <f aca="false">COUNT(G89,I89,K89,M89,O89,Q89)</f>
        <v>3</v>
      </c>
      <c r="T89" s="8" t="n">
        <f aca="false">IF(S89=0,"",MIN(G89,I89,K89,M89,O89,Q89))</f>
        <v>145.35</v>
      </c>
      <c r="U89" s="9" t="str">
        <f aca="false">IF(S89=0,"No quote",LEFT(IF(AND(ISNUMBER(G89),G89=T89),"Ahsan, ","")&amp;IF(AND(ISNUMBER(I89),I89=T89),"Aslam, ","")&amp;IF(AND(ISNUMBER(K89),K89=T89),"Jamil, ","")&amp;IF(AND(ISNUMBER(M89),M89=T89),"Muller, ","")&amp;IF(AND(ISNUMBER(O89),O89=T89),"NMMC, ","")&amp;IF(AND(ISNUMBER(Q89),Q89=T89),"Platinum, ",""),LEN(IF(AND(ISNUMBER(G89),G89=T89),"Ahsan, ","")&amp;IF(AND(ISNUMBER(I89),I89=T89),"Aslam, ","")&amp;IF(AND(ISNUMBER(K89),K89=T89),"Jamil, ","")&amp;IF(AND(ISNUMBER(M89),M89=T89),"Muller, ","")&amp;IF(AND(ISNUMBER(O89),O89=T89),"NMMC, ","")&amp;IF(AND(ISNUMBER(Q89),Q89=T89),"Platinum, ",""))-2))</f>
        <v>NMMC</v>
      </c>
      <c r="V89" s="10" t="n">
        <f aca="false">IF(S89=0,"",T89*F89)</f>
        <v>43605</v>
      </c>
      <c r="W89" s="6"/>
    </row>
    <row r="90" customFormat="false" ht="23.85" hidden="false" customHeight="false" outlineLevel="0" collapsed="false">
      <c r="A90" s="5" t="n">
        <v>85</v>
      </c>
      <c r="B90" s="6" t="s">
        <v>419</v>
      </c>
      <c r="C90" s="6" t="s">
        <v>420</v>
      </c>
      <c r="D90" s="6" t="s">
        <v>421</v>
      </c>
      <c r="E90" s="5" t="s">
        <v>37</v>
      </c>
      <c r="F90" s="5" t="n">
        <v>250</v>
      </c>
      <c r="G90" s="7" t="n">
        <v>340</v>
      </c>
      <c r="H90" s="6" t="s">
        <v>422</v>
      </c>
      <c r="I90" s="7"/>
      <c r="J90" s="6"/>
      <c r="K90" s="7"/>
      <c r="L90" s="6"/>
      <c r="M90" s="7" t="n">
        <v>347.01</v>
      </c>
      <c r="N90" s="6" t="s">
        <v>423</v>
      </c>
      <c r="O90" s="7"/>
      <c r="P90" s="6"/>
      <c r="Q90" s="7"/>
      <c r="R90" s="6"/>
      <c r="S90" s="5" t="n">
        <f aca="false">COUNT(G90,I90,K90,M90,O90,Q90)</f>
        <v>2</v>
      </c>
      <c r="T90" s="8" t="n">
        <f aca="false">IF(S90=0,"",MIN(G90,I90,K90,M90,O90,Q90))</f>
        <v>340</v>
      </c>
      <c r="U90" s="9" t="str">
        <f aca="false">IF(S90=0,"No quote",LEFT(IF(AND(ISNUMBER(G90),G90=T90),"Ahsan, ","")&amp;IF(AND(ISNUMBER(I90),I90=T90),"Aslam, ","")&amp;IF(AND(ISNUMBER(K90),K90=T90),"Jamil, ","")&amp;IF(AND(ISNUMBER(M90),M90=T90),"Muller, ","")&amp;IF(AND(ISNUMBER(O90),O90=T90),"NMMC, ","")&amp;IF(AND(ISNUMBER(Q90),Q90=T90),"Platinum, ",""),LEN(IF(AND(ISNUMBER(G90),G90=T90),"Ahsan, ","")&amp;IF(AND(ISNUMBER(I90),I90=T90),"Aslam, ","")&amp;IF(AND(ISNUMBER(K90),K90=T90),"Jamil, ","")&amp;IF(AND(ISNUMBER(M90),M90=T90),"Muller, ","")&amp;IF(AND(ISNUMBER(O90),O90=T90),"NMMC, ","")&amp;IF(AND(ISNUMBER(Q90),Q90=T90),"Platinum, ",""))-2))</f>
        <v>Ahsan</v>
      </c>
      <c r="V90" s="10" t="n">
        <f aca="false">IF(S90=0,"",T90*F90)</f>
        <v>85000</v>
      </c>
      <c r="W90" s="6"/>
    </row>
    <row r="91" customFormat="false" ht="35.05" hidden="false" customHeight="false" outlineLevel="0" collapsed="false">
      <c r="A91" s="5" t="n">
        <v>86</v>
      </c>
      <c r="B91" s="6" t="s">
        <v>424</v>
      </c>
      <c r="C91" s="6" t="s">
        <v>425</v>
      </c>
      <c r="D91" s="6" t="s">
        <v>426</v>
      </c>
      <c r="E91" s="5" t="s">
        <v>37</v>
      </c>
      <c r="F91" s="5" t="n">
        <v>50</v>
      </c>
      <c r="G91" s="7"/>
      <c r="H91" s="6"/>
      <c r="I91" s="7"/>
      <c r="J91" s="6"/>
      <c r="K91" s="7"/>
      <c r="L91" s="6"/>
      <c r="M91" s="7" t="n">
        <v>550.8</v>
      </c>
      <c r="N91" s="6" t="s">
        <v>427</v>
      </c>
      <c r="O91" s="7"/>
      <c r="P91" s="6"/>
      <c r="Q91" s="7"/>
      <c r="R91" s="6"/>
      <c r="S91" s="5" t="n">
        <f aca="false">COUNT(G91,I91,K91,M91,O91,Q91)</f>
        <v>1</v>
      </c>
      <c r="T91" s="8" t="n">
        <f aca="false">IF(S91=0,"",MIN(G91,I91,K91,M91,O91,Q91))</f>
        <v>550.8</v>
      </c>
      <c r="U91" s="9" t="str">
        <f aca="false">IF(S91=0,"No quote",LEFT(IF(AND(ISNUMBER(G91),G91=T91),"Ahsan, ","")&amp;IF(AND(ISNUMBER(I91),I91=T91),"Aslam, ","")&amp;IF(AND(ISNUMBER(K91),K91=T91),"Jamil, ","")&amp;IF(AND(ISNUMBER(M91),M91=T91),"Muller, ","")&amp;IF(AND(ISNUMBER(O91),O91=T91),"NMMC, ","")&amp;IF(AND(ISNUMBER(Q91),Q91=T91),"Platinum, ",""),LEN(IF(AND(ISNUMBER(G91),G91=T91),"Ahsan, ","")&amp;IF(AND(ISNUMBER(I91),I91=T91),"Aslam, ","")&amp;IF(AND(ISNUMBER(K91),K91=T91),"Jamil, ","")&amp;IF(AND(ISNUMBER(M91),M91=T91),"Muller, ","")&amp;IF(AND(ISNUMBER(O91),O91=T91),"NMMC, ","")&amp;IF(AND(ISNUMBER(Q91),Q91=T91),"Platinum, ",""))-2))</f>
        <v>Muller</v>
      </c>
      <c r="V91" s="10" t="n">
        <f aca="false">IF(S91=0,"",T91*F91)</f>
        <v>27540</v>
      </c>
      <c r="W91" s="6"/>
    </row>
    <row r="92" customFormat="false" ht="35.05" hidden="false" customHeight="false" outlineLevel="0" collapsed="false">
      <c r="A92" s="5" t="n">
        <v>87</v>
      </c>
      <c r="B92" s="6" t="s">
        <v>428</v>
      </c>
      <c r="C92" s="6" t="s">
        <v>429</v>
      </c>
      <c r="D92" s="6" t="s">
        <v>430</v>
      </c>
      <c r="E92" s="5" t="s">
        <v>37</v>
      </c>
      <c r="F92" s="5" t="n">
        <v>25</v>
      </c>
      <c r="G92" s="7"/>
      <c r="H92" s="6"/>
      <c r="I92" s="7" t="n">
        <v>809.55</v>
      </c>
      <c r="J92" s="6" t="s">
        <v>326</v>
      </c>
      <c r="K92" s="7"/>
      <c r="L92" s="6"/>
      <c r="M92" s="7"/>
      <c r="N92" s="6"/>
      <c r="O92" s="7"/>
      <c r="P92" s="6"/>
      <c r="Q92" s="7" t="n">
        <v>312.37</v>
      </c>
      <c r="R92" s="6" t="s">
        <v>431</v>
      </c>
      <c r="S92" s="5" t="n">
        <f aca="false">COUNT(G92,I92,K92,M92,O92,Q92)</f>
        <v>2</v>
      </c>
      <c r="T92" s="8" t="n">
        <f aca="false">IF(S92=0,"",MIN(G92,I92,K92,M92,O92,Q92))</f>
        <v>312.37</v>
      </c>
      <c r="U92" s="9" t="str">
        <f aca="false">IF(S92=0,"No quote",LEFT(IF(AND(ISNUMBER(G92),G92=T92),"Ahsan, ","")&amp;IF(AND(ISNUMBER(I92),I92=T92),"Aslam, ","")&amp;IF(AND(ISNUMBER(K92),K92=T92),"Jamil, ","")&amp;IF(AND(ISNUMBER(M92),M92=T92),"Muller, ","")&amp;IF(AND(ISNUMBER(O92),O92=T92),"NMMC, ","")&amp;IF(AND(ISNUMBER(Q92),Q92=T92),"Platinum, ",""),LEN(IF(AND(ISNUMBER(G92),G92=T92),"Ahsan, ","")&amp;IF(AND(ISNUMBER(I92),I92=T92),"Aslam, ","")&amp;IF(AND(ISNUMBER(K92),K92=T92),"Jamil, ","")&amp;IF(AND(ISNUMBER(M92),M92=T92),"Muller, ","")&amp;IF(AND(ISNUMBER(O92),O92=T92),"NMMC, ","")&amp;IF(AND(ISNUMBER(Q92),Q92=T92),"Platinum, ",""))-2))</f>
        <v>Platinum</v>
      </c>
      <c r="V92" s="10" t="n">
        <f aca="false">IF(S92=0,"",T92*F92)</f>
        <v>7809.25</v>
      </c>
      <c r="W92" s="6"/>
    </row>
    <row r="93" customFormat="false" ht="15" hidden="false" customHeight="false" outlineLevel="0" collapsed="false">
      <c r="A93" s="5" t="n">
        <v>88</v>
      </c>
      <c r="B93" s="6" t="s">
        <v>432</v>
      </c>
      <c r="C93" s="6" t="s">
        <v>433</v>
      </c>
      <c r="D93" s="6" t="s">
        <v>434</v>
      </c>
      <c r="E93" s="5" t="s">
        <v>37</v>
      </c>
      <c r="F93" s="5" t="n">
        <v>100</v>
      </c>
      <c r="G93" s="7"/>
      <c r="H93" s="6"/>
      <c r="I93" s="7" t="n">
        <v>265.31</v>
      </c>
      <c r="J93" s="6" t="s">
        <v>229</v>
      </c>
      <c r="K93" s="7"/>
      <c r="L93" s="6"/>
      <c r="M93" s="7"/>
      <c r="N93" s="6"/>
      <c r="O93" s="7" t="n">
        <v>1592.37</v>
      </c>
      <c r="P93" s="6" t="s">
        <v>435</v>
      </c>
      <c r="Q93" s="7"/>
      <c r="R93" s="6"/>
      <c r="S93" s="5" t="n">
        <f aca="false">COUNT(G93,I93,K93,M93,O93,Q93)</f>
        <v>2</v>
      </c>
      <c r="T93" s="8" t="n">
        <f aca="false">IF(S93=0,"",MIN(G93,I93,K93,M93,O93,Q93))</f>
        <v>265.31</v>
      </c>
      <c r="U93" s="9" t="str">
        <f aca="false">IF(S93=0,"No quote",LEFT(IF(AND(ISNUMBER(G93),G93=T93),"Ahsan, ","")&amp;IF(AND(ISNUMBER(I93),I93=T93),"Aslam, ","")&amp;IF(AND(ISNUMBER(K93),K93=T93),"Jamil, ","")&amp;IF(AND(ISNUMBER(M93),M93=T93),"Muller, ","")&amp;IF(AND(ISNUMBER(O93),O93=T93),"NMMC, ","")&amp;IF(AND(ISNUMBER(Q93),Q93=T93),"Platinum, ",""),LEN(IF(AND(ISNUMBER(G93),G93=T93),"Ahsan, ","")&amp;IF(AND(ISNUMBER(I93),I93=T93),"Aslam, ","")&amp;IF(AND(ISNUMBER(K93),K93=T93),"Jamil, ","")&amp;IF(AND(ISNUMBER(M93),M93=T93),"Muller, ","")&amp;IF(AND(ISNUMBER(O93),O93=T93),"NMMC, ","")&amp;IF(AND(ISNUMBER(Q93),Q93=T93),"Platinum, ",""))-2))</f>
        <v>Aslam</v>
      </c>
      <c r="V93" s="10" t="n">
        <f aca="false">IF(S93=0,"",T93*F93)</f>
        <v>26531</v>
      </c>
      <c r="W93" s="6"/>
    </row>
    <row r="94" customFormat="false" ht="23.85" hidden="false" customHeight="false" outlineLevel="0" collapsed="false">
      <c r="A94" s="5" t="n">
        <v>89</v>
      </c>
      <c r="B94" s="6" t="s">
        <v>436</v>
      </c>
      <c r="C94" s="6" t="s">
        <v>437</v>
      </c>
      <c r="D94" s="6" t="s">
        <v>438</v>
      </c>
      <c r="E94" s="5" t="s">
        <v>24</v>
      </c>
      <c r="F94" s="5" t="n">
        <v>200</v>
      </c>
      <c r="G94" s="7"/>
      <c r="H94" s="6"/>
      <c r="I94" s="7" t="n">
        <v>61.16</v>
      </c>
      <c r="J94" s="6" t="s">
        <v>318</v>
      </c>
      <c r="K94" s="7"/>
      <c r="L94" s="6"/>
      <c r="M94" s="7"/>
      <c r="N94" s="6"/>
      <c r="O94" s="7"/>
      <c r="P94" s="6"/>
      <c r="Q94" s="7"/>
      <c r="R94" s="6"/>
      <c r="S94" s="5" t="n">
        <f aca="false">COUNT(G94,I94,K94,M94,O94,Q94)</f>
        <v>1</v>
      </c>
      <c r="T94" s="8" t="n">
        <f aca="false">IF(S94=0,"",MIN(G94,I94,K94,M94,O94,Q94))</f>
        <v>61.16</v>
      </c>
      <c r="U94" s="9" t="str">
        <f aca="false">IF(S94=0,"No quote",LEFT(IF(AND(ISNUMBER(G94),G94=T94),"Ahsan, ","")&amp;IF(AND(ISNUMBER(I94),I94=T94),"Aslam, ","")&amp;IF(AND(ISNUMBER(K94),K94=T94),"Jamil, ","")&amp;IF(AND(ISNUMBER(M94),M94=T94),"Muller, ","")&amp;IF(AND(ISNUMBER(O94),O94=T94),"NMMC, ","")&amp;IF(AND(ISNUMBER(Q94),Q94=T94),"Platinum, ",""),LEN(IF(AND(ISNUMBER(G94),G94=T94),"Ahsan, ","")&amp;IF(AND(ISNUMBER(I94),I94=T94),"Aslam, ","")&amp;IF(AND(ISNUMBER(K94),K94=T94),"Jamil, ","")&amp;IF(AND(ISNUMBER(M94),M94=T94),"Muller, ","")&amp;IF(AND(ISNUMBER(O94),O94=T94),"NMMC, ","")&amp;IF(AND(ISNUMBER(Q94),Q94=T94),"Platinum, ",""))-2))</f>
        <v>Aslam</v>
      </c>
      <c r="V94" s="10" t="n">
        <f aca="false">IF(S94=0,"",T94*F94)</f>
        <v>12232</v>
      </c>
      <c r="W94" s="6"/>
    </row>
    <row r="95" customFormat="false" ht="23.85" hidden="false" customHeight="false" outlineLevel="0" collapsed="false">
      <c r="A95" s="5" t="n">
        <v>90</v>
      </c>
      <c r="B95" s="6" t="s">
        <v>439</v>
      </c>
      <c r="C95" s="6" t="s">
        <v>440</v>
      </c>
      <c r="D95" s="6" t="s">
        <v>441</v>
      </c>
      <c r="E95" s="5" t="s">
        <v>24</v>
      </c>
      <c r="F95" s="5" t="n">
        <v>100</v>
      </c>
      <c r="G95" s="7"/>
      <c r="H95" s="6"/>
      <c r="I95" s="7"/>
      <c r="J95" s="6"/>
      <c r="K95" s="7" t="n">
        <v>153.43</v>
      </c>
      <c r="L95" s="6" t="s">
        <v>442</v>
      </c>
      <c r="M95" s="7"/>
      <c r="N95" s="6"/>
      <c r="O95" s="7" t="n">
        <v>130.05</v>
      </c>
      <c r="P95" s="6" t="s">
        <v>443</v>
      </c>
      <c r="Q95" s="7"/>
      <c r="R95" s="6"/>
      <c r="S95" s="5" t="n">
        <f aca="false">COUNT(G95,I95,K95,M95,O95,Q95)</f>
        <v>2</v>
      </c>
      <c r="T95" s="8" t="n">
        <f aca="false">IF(S95=0,"",MIN(G95,I95,K95,M95,O95,Q95))</f>
        <v>130.05</v>
      </c>
      <c r="U95" s="9" t="str">
        <f aca="false">IF(S95=0,"No quote",LEFT(IF(AND(ISNUMBER(G95),G95=T95),"Ahsan, ","")&amp;IF(AND(ISNUMBER(I95),I95=T95),"Aslam, ","")&amp;IF(AND(ISNUMBER(K95),K95=T95),"Jamil, ","")&amp;IF(AND(ISNUMBER(M95),M95=T95),"Muller, ","")&amp;IF(AND(ISNUMBER(O95),O95=T95),"NMMC, ","")&amp;IF(AND(ISNUMBER(Q95),Q95=T95),"Platinum, ",""),LEN(IF(AND(ISNUMBER(G95),G95=T95),"Ahsan, ","")&amp;IF(AND(ISNUMBER(I95),I95=T95),"Aslam, ","")&amp;IF(AND(ISNUMBER(K95),K95=T95),"Jamil, ","")&amp;IF(AND(ISNUMBER(M95),M95=T95),"Muller, ","")&amp;IF(AND(ISNUMBER(O95),O95=T95),"NMMC, ","")&amp;IF(AND(ISNUMBER(Q95),Q95=T95),"Platinum, ",""))-2))</f>
        <v>NMMC</v>
      </c>
      <c r="V95" s="10" t="n">
        <f aca="false">IF(S95=0,"",T95*F95)</f>
        <v>13005</v>
      </c>
      <c r="W95" s="6"/>
    </row>
    <row r="96" customFormat="false" ht="15" hidden="false" customHeight="false" outlineLevel="0" collapsed="false">
      <c r="A96" s="5" t="n">
        <v>91</v>
      </c>
      <c r="B96" s="6" t="s">
        <v>444</v>
      </c>
      <c r="C96" s="6" t="s">
        <v>445</v>
      </c>
      <c r="D96" s="6" t="s">
        <v>446</v>
      </c>
      <c r="E96" s="5" t="s">
        <v>24</v>
      </c>
      <c r="F96" s="5" t="n">
        <v>100</v>
      </c>
      <c r="G96" s="7"/>
      <c r="H96" s="6"/>
      <c r="I96" s="7"/>
      <c r="J96" s="6"/>
      <c r="K96" s="7"/>
      <c r="L96" s="6"/>
      <c r="M96" s="7" t="n">
        <v>148.75</v>
      </c>
      <c r="N96" s="6" t="s">
        <v>447</v>
      </c>
      <c r="O96" s="7"/>
      <c r="P96" s="6"/>
      <c r="Q96" s="7"/>
      <c r="R96" s="6"/>
      <c r="S96" s="5" t="n">
        <f aca="false">COUNT(G96,I96,K96,M96,O96,Q96)</f>
        <v>1</v>
      </c>
      <c r="T96" s="8" t="n">
        <f aca="false">IF(S96=0,"",MIN(G96,I96,K96,M96,O96,Q96))</f>
        <v>148.75</v>
      </c>
      <c r="U96" s="9" t="str">
        <f aca="false">IF(S96=0,"No quote",LEFT(IF(AND(ISNUMBER(G96),G96=T96),"Ahsan, ","")&amp;IF(AND(ISNUMBER(I96),I96=T96),"Aslam, ","")&amp;IF(AND(ISNUMBER(K96),K96=T96),"Jamil, ","")&amp;IF(AND(ISNUMBER(M96),M96=T96),"Muller, ","")&amp;IF(AND(ISNUMBER(O96),O96=T96),"NMMC, ","")&amp;IF(AND(ISNUMBER(Q96),Q96=T96),"Platinum, ",""),LEN(IF(AND(ISNUMBER(G96),G96=T96),"Ahsan, ","")&amp;IF(AND(ISNUMBER(I96),I96=T96),"Aslam, ","")&amp;IF(AND(ISNUMBER(K96),K96=T96),"Jamil, ","")&amp;IF(AND(ISNUMBER(M96),M96=T96),"Muller, ","")&amp;IF(AND(ISNUMBER(O96),O96=T96),"NMMC, ","")&amp;IF(AND(ISNUMBER(Q96),Q96=T96),"Platinum, ",""))-2))</f>
        <v>Muller</v>
      </c>
      <c r="V96" s="10" t="n">
        <f aca="false">IF(S96=0,"",T96*F96)</f>
        <v>14875</v>
      </c>
      <c r="W96" s="6"/>
    </row>
    <row r="97" customFormat="false" ht="23.85" hidden="false" customHeight="false" outlineLevel="0" collapsed="false">
      <c r="A97" s="5" t="n">
        <v>92</v>
      </c>
      <c r="B97" s="6" t="s">
        <v>448</v>
      </c>
      <c r="C97" s="6" t="s">
        <v>449</v>
      </c>
      <c r="D97" s="6" t="s">
        <v>450</v>
      </c>
      <c r="E97" s="5" t="s">
        <v>24</v>
      </c>
      <c r="F97" s="5" t="n">
        <v>200</v>
      </c>
      <c r="G97" s="7"/>
      <c r="H97" s="6"/>
      <c r="I97" s="7"/>
      <c r="J97" s="6"/>
      <c r="K97" s="7"/>
      <c r="L97" s="6"/>
      <c r="M97" s="7"/>
      <c r="N97" s="6"/>
      <c r="O97" s="7" t="n">
        <v>351.48</v>
      </c>
      <c r="P97" s="6" t="s">
        <v>451</v>
      </c>
      <c r="Q97" s="7"/>
      <c r="R97" s="6"/>
      <c r="S97" s="5" t="n">
        <f aca="false">COUNT(G97,I97,K97,M97,O97,Q97)</f>
        <v>1</v>
      </c>
      <c r="T97" s="8" t="n">
        <f aca="false">IF(S97=0,"",MIN(G97,I97,K97,M97,O97,Q97))</f>
        <v>351.48</v>
      </c>
      <c r="U97" s="9" t="str">
        <f aca="false">IF(S97=0,"No quote",LEFT(IF(AND(ISNUMBER(G97),G97=T97),"Ahsan, ","")&amp;IF(AND(ISNUMBER(I97),I97=T97),"Aslam, ","")&amp;IF(AND(ISNUMBER(K97),K97=T97),"Jamil, ","")&amp;IF(AND(ISNUMBER(M97),M97=T97),"Muller, ","")&amp;IF(AND(ISNUMBER(O97),O97=T97),"NMMC, ","")&amp;IF(AND(ISNUMBER(Q97),Q97=T97),"Platinum, ",""),LEN(IF(AND(ISNUMBER(G97),G97=T97),"Ahsan, ","")&amp;IF(AND(ISNUMBER(I97),I97=T97),"Aslam, ","")&amp;IF(AND(ISNUMBER(K97),K97=T97),"Jamil, ","")&amp;IF(AND(ISNUMBER(M97),M97=T97),"Muller, ","")&amp;IF(AND(ISNUMBER(O97),O97=T97),"NMMC, ","")&amp;IF(AND(ISNUMBER(Q97),Q97=T97),"Platinum, ",""))-2))</f>
        <v>NMMC</v>
      </c>
      <c r="V97" s="10" t="n">
        <f aca="false">IF(S97=0,"",T97*F97)</f>
        <v>70296</v>
      </c>
      <c r="W97" s="6"/>
    </row>
    <row r="98" customFormat="false" ht="46.25" hidden="false" customHeight="false" outlineLevel="0" collapsed="false">
      <c r="A98" s="5" t="n">
        <v>93</v>
      </c>
      <c r="B98" s="6" t="s">
        <v>452</v>
      </c>
      <c r="C98" s="6" t="s">
        <v>453</v>
      </c>
      <c r="D98" s="6" t="s">
        <v>454</v>
      </c>
      <c r="E98" s="5" t="s">
        <v>24</v>
      </c>
      <c r="F98" s="5" t="n">
        <v>200</v>
      </c>
      <c r="G98" s="7"/>
      <c r="H98" s="6"/>
      <c r="I98" s="7"/>
      <c r="J98" s="6"/>
      <c r="K98" s="7"/>
      <c r="L98" s="6"/>
      <c r="M98" s="7" t="n">
        <v>569.5</v>
      </c>
      <c r="N98" s="6" t="s">
        <v>455</v>
      </c>
      <c r="O98" s="7"/>
      <c r="P98" s="6"/>
      <c r="Q98" s="7" t="n">
        <v>382.5</v>
      </c>
      <c r="R98" s="6" t="s">
        <v>456</v>
      </c>
      <c r="S98" s="5" t="n">
        <f aca="false">COUNT(G98,I98,K98,M98,O98,Q98)</f>
        <v>2</v>
      </c>
      <c r="T98" s="8" t="n">
        <f aca="false">IF(S98=0,"",MIN(G98,I98,K98,M98,O98,Q98))</f>
        <v>382.5</v>
      </c>
      <c r="U98" s="9" t="str">
        <f aca="false">IF(S98=0,"No quote",LEFT(IF(AND(ISNUMBER(G98),G98=T98),"Ahsan, ","")&amp;IF(AND(ISNUMBER(I98),I98=T98),"Aslam, ","")&amp;IF(AND(ISNUMBER(K98),K98=T98),"Jamil, ","")&amp;IF(AND(ISNUMBER(M98),M98=T98),"Muller, ","")&amp;IF(AND(ISNUMBER(O98),O98=T98),"NMMC, ","")&amp;IF(AND(ISNUMBER(Q98),Q98=T98),"Platinum, ",""),LEN(IF(AND(ISNUMBER(G98),G98=T98),"Ahsan, ","")&amp;IF(AND(ISNUMBER(I98),I98=T98),"Aslam, ","")&amp;IF(AND(ISNUMBER(K98),K98=T98),"Jamil, ","")&amp;IF(AND(ISNUMBER(M98),M98=T98),"Muller, ","")&amp;IF(AND(ISNUMBER(O98),O98=T98),"NMMC, ","")&amp;IF(AND(ISNUMBER(Q98),Q98=T98),"Platinum, ",""))-2))</f>
        <v>Platinum</v>
      </c>
      <c r="V98" s="10" t="n">
        <f aca="false">IF(S98=0,"",T98*F98)</f>
        <v>76500</v>
      </c>
      <c r="W98" s="6"/>
    </row>
    <row r="99" customFormat="false" ht="23.85" hidden="false" customHeight="false" outlineLevel="0" collapsed="false">
      <c r="A99" s="5" t="n">
        <v>94</v>
      </c>
      <c r="B99" s="6" t="s">
        <v>457</v>
      </c>
      <c r="C99" s="6" t="s">
        <v>458</v>
      </c>
      <c r="D99" s="6" t="s">
        <v>190</v>
      </c>
      <c r="E99" s="5" t="s">
        <v>24</v>
      </c>
      <c r="F99" s="5" t="n">
        <v>100</v>
      </c>
      <c r="G99" s="7"/>
      <c r="H99" s="6"/>
      <c r="I99" s="7"/>
      <c r="J99" s="6"/>
      <c r="K99" s="7"/>
      <c r="L99" s="6"/>
      <c r="M99" s="7"/>
      <c r="N99" s="6"/>
      <c r="O99" s="7"/>
      <c r="P99" s="6"/>
      <c r="Q99" s="7"/>
      <c r="R99" s="6"/>
      <c r="S99" s="5" t="n">
        <f aca="false">COUNT(G99,I99,K99,M99,O99,Q99)</f>
        <v>0</v>
      </c>
      <c r="T99" s="8" t="str">
        <f aca="false">IF(S99=0,"",MIN(G99,I99,K99,M99,O99,Q99))</f>
        <v/>
      </c>
      <c r="U99" s="9" t="str">
        <f aca="false">IF(S99=0,"No quote",LEFT(IF(AND(ISNUMBER(G99),G99=T99),"Ahsan, ","")&amp;IF(AND(ISNUMBER(I99),I99=T99),"Aslam, ","")&amp;IF(AND(ISNUMBER(K99),K99=T99),"Jamil, ","")&amp;IF(AND(ISNUMBER(M99),M99=T99),"Muller, ","")&amp;IF(AND(ISNUMBER(O99),O99=T99),"NMMC, ","")&amp;IF(AND(ISNUMBER(Q99),Q99=T99),"Platinum, ",""),LEN(IF(AND(ISNUMBER(G99),G99=T99),"Ahsan, ","")&amp;IF(AND(ISNUMBER(I99),I99=T99),"Aslam, ","")&amp;IF(AND(ISNUMBER(K99),K99=T99),"Jamil, ","")&amp;IF(AND(ISNUMBER(M99),M99=T99),"Muller, ","")&amp;IF(AND(ISNUMBER(O99),O99=T99),"NMMC, ","")&amp;IF(AND(ISNUMBER(Q99),Q99=T99),"Platinum, ",""))-2))</f>
        <v>No quote</v>
      </c>
      <c r="V99" s="10" t="str">
        <f aca="false">IF(S99=0,"",T99*F99)</f>
        <v/>
      </c>
      <c r="W99" s="6"/>
    </row>
    <row r="100" customFormat="false" ht="46.25" hidden="false" customHeight="false" outlineLevel="0" collapsed="false">
      <c r="A100" s="5" t="n">
        <v>95</v>
      </c>
      <c r="B100" s="6" t="s">
        <v>459</v>
      </c>
      <c r="C100" s="6" t="s">
        <v>460</v>
      </c>
      <c r="D100" s="6"/>
      <c r="E100" s="5" t="s">
        <v>24</v>
      </c>
      <c r="F100" s="5" t="n">
        <v>100</v>
      </c>
      <c r="G100" s="7"/>
      <c r="H100" s="6"/>
      <c r="I100" s="7"/>
      <c r="J100" s="6"/>
      <c r="K100" s="7"/>
      <c r="L100" s="6"/>
      <c r="M100" s="7"/>
      <c r="N100" s="6"/>
      <c r="O100" s="7" t="n">
        <v>146.88</v>
      </c>
      <c r="P100" s="6" t="s">
        <v>461</v>
      </c>
      <c r="Q100" s="7"/>
      <c r="R100" s="6"/>
      <c r="S100" s="5" t="n">
        <f aca="false">COUNT(G100,I100,K100,M100,O100,Q100)</f>
        <v>1</v>
      </c>
      <c r="T100" s="8" t="n">
        <f aca="false">IF(S100=0,"",MIN(G100,I100,K100,M100,O100,Q100))</f>
        <v>146.88</v>
      </c>
      <c r="U100" s="9" t="str">
        <f aca="false">IF(S100=0,"No quote",LEFT(IF(AND(ISNUMBER(G100),G100=T100),"Ahsan, ","")&amp;IF(AND(ISNUMBER(I100),I100=T100),"Aslam, ","")&amp;IF(AND(ISNUMBER(K100),K100=T100),"Jamil, ","")&amp;IF(AND(ISNUMBER(M100),M100=T100),"Muller, ","")&amp;IF(AND(ISNUMBER(O100),O100=T100),"NMMC, ","")&amp;IF(AND(ISNUMBER(Q100),Q100=T100),"Platinum, ",""),LEN(IF(AND(ISNUMBER(G100),G100=T100),"Ahsan, ","")&amp;IF(AND(ISNUMBER(I100),I100=T100),"Aslam, ","")&amp;IF(AND(ISNUMBER(K100),K100=T100),"Jamil, ","")&amp;IF(AND(ISNUMBER(M100),M100=T100),"Muller, ","")&amp;IF(AND(ISNUMBER(O100),O100=T100),"NMMC, ","")&amp;IF(AND(ISNUMBER(Q100),Q100=T100),"Platinum, ",""))-2))</f>
        <v>NMMC</v>
      </c>
      <c r="V100" s="10" t="n">
        <f aca="false">IF(S100=0,"",T100*F100)</f>
        <v>14688</v>
      </c>
      <c r="W100" s="6"/>
    </row>
    <row r="101" customFormat="false" ht="46.25" hidden="false" customHeight="false" outlineLevel="0" collapsed="false">
      <c r="A101" s="5" t="n">
        <v>96</v>
      </c>
      <c r="B101" s="6" t="s">
        <v>462</v>
      </c>
      <c r="C101" s="6" t="s">
        <v>463</v>
      </c>
      <c r="D101" s="6" t="s">
        <v>464</v>
      </c>
      <c r="E101" s="5" t="s">
        <v>24</v>
      </c>
      <c r="F101" s="5" t="n">
        <v>1200</v>
      </c>
      <c r="G101" s="7"/>
      <c r="H101" s="6"/>
      <c r="I101" s="7" t="n">
        <v>186.15</v>
      </c>
      <c r="J101" s="6" t="s">
        <v>465</v>
      </c>
      <c r="K101" s="7"/>
      <c r="L101" s="6"/>
      <c r="M101" s="7" t="n">
        <v>117.3</v>
      </c>
      <c r="N101" s="6" t="s">
        <v>466</v>
      </c>
      <c r="O101" s="7" t="n">
        <v>105.57</v>
      </c>
      <c r="P101" s="6" t="s">
        <v>467</v>
      </c>
      <c r="Q101" s="7"/>
      <c r="R101" s="6"/>
      <c r="S101" s="5" t="n">
        <f aca="false">COUNT(G101,I101,K101,M101,O101,Q101)</f>
        <v>3</v>
      </c>
      <c r="T101" s="8" t="n">
        <f aca="false">IF(S101=0,"",MIN(G101,I101,K101,M101,O101,Q101))</f>
        <v>105.57</v>
      </c>
      <c r="U101" s="9" t="str">
        <f aca="false">IF(S101=0,"No quote",LEFT(IF(AND(ISNUMBER(G101),G101=T101),"Ahsan, ","")&amp;IF(AND(ISNUMBER(I101),I101=T101),"Aslam, ","")&amp;IF(AND(ISNUMBER(K101),K101=T101),"Jamil, ","")&amp;IF(AND(ISNUMBER(M101),M101=T101),"Muller, ","")&amp;IF(AND(ISNUMBER(O101),O101=T101),"NMMC, ","")&amp;IF(AND(ISNUMBER(Q101),Q101=T101),"Platinum, ",""),LEN(IF(AND(ISNUMBER(G101),G101=T101),"Ahsan, ","")&amp;IF(AND(ISNUMBER(I101),I101=T101),"Aslam, ","")&amp;IF(AND(ISNUMBER(K101),K101=T101),"Jamil, ","")&amp;IF(AND(ISNUMBER(M101),M101=T101),"Muller, ","")&amp;IF(AND(ISNUMBER(O101),O101=T101),"NMMC, ","")&amp;IF(AND(ISNUMBER(Q101),Q101=T101),"Platinum, ",""))-2))</f>
        <v>NMMC</v>
      </c>
      <c r="V101" s="10" t="n">
        <f aca="false">IF(S101=0,"",T101*F101)</f>
        <v>126684</v>
      </c>
      <c r="W101" s="6"/>
    </row>
    <row r="102" customFormat="false" ht="15" hidden="false" customHeight="false" outlineLevel="0" collapsed="false">
      <c r="A102" s="5" t="n">
        <v>97</v>
      </c>
      <c r="B102" s="6" t="s">
        <v>468</v>
      </c>
      <c r="C102" s="6" t="s">
        <v>469</v>
      </c>
      <c r="D102" s="6" t="s">
        <v>470</v>
      </c>
      <c r="E102" s="5" t="s">
        <v>24</v>
      </c>
      <c r="F102" s="5" t="n">
        <v>100</v>
      </c>
      <c r="G102" s="7"/>
      <c r="H102" s="6"/>
      <c r="I102" s="7" t="n">
        <v>96.04</v>
      </c>
      <c r="J102" s="6" t="s">
        <v>71</v>
      </c>
      <c r="K102" s="7"/>
      <c r="L102" s="6"/>
      <c r="M102" s="7"/>
      <c r="N102" s="6"/>
      <c r="O102" s="7"/>
      <c r="P102" s="6"/>
      <c r="Q102" s="7"/>
      <c r="R102" s="6"/>
      <c r="S102" s="5" t="n">
        <f aca="false">COUNT(G102,I102,K102,M102,O102,Q102)</f>
        <v>1</v>
      </c>
      <c r="T102" s="8" t="n">
        <f aca="false">IF(S102=0,"",MIN(G102,I102,K102,M102,O102,Q102))</f>
        <v>96.04</v>
      </c>
      <c r="U102" s="9" t="str">
        <f aca="false">IF(S102=0,"No quote",LEFT(IF(AND(ISNUMBER(G102),G102=T102),"Ahsan, ","")&amp;IF(AND(ISNUMBER(I102),I102=T102),"Aslam, ","")&amp;IF(AND(ISNUMBER(K102),K102=T102),"Jamil, ","")&amp;IF(AND(ISNUMBER(M102),M102=T102),"Muller, ","")&amp;IF(AND(ISNUMBER(O102),O102=T102),"NMMC, ","")&amp;IF(AND(ISNUMBER(Q102),Q102=T102),"Platinum, ",""),LEN(IF(AND(ISNUMBER(G102),G102=T102),"Ahsan, ","")&amp;IF(AND(ISNUMBER(I102),I102=T102),"Aslam, ","")&amp;IF(AND(ISNUMBER(K102),K102=T102),"Jamil, ","")&amp;IF(AND(ISNUMBER(M102),M102=T102),"Muller, ","")&amp;IF(AND(ISNUMBER(O102),O102=T102),"NMMC, ","")&amp;IF(AND(ISNUMBER(Q102),Q102=T102),"Platinum, ",""))-2))</f>
        <v>Aslam</v>
      </c>
      <c r="V102" s="10" t="n">
        <f aca="false">IF(S102=0,"",T102*F102)</f>
        <v>9604</v>
      </c>
      <c r="W102" s="6"/>
    </row>
    <row r="103" customFormat="false" ht="35.05" hidden="false" customHeight="false" outlineLevel="0" collapsed="false">
      <c r="A103" s="5" t="n">
        <v>98</v>
      </c>
      <c r="B103" s="6" t="s">
        <v>471</v>
      </c>
      <c r="C103" s="6" t="s">
        <v>472</v>
      </c>
      <c r="D103" s="6" t="s">
        <v>473</v>
      </c>
      <c r="E103" s="5" t="s">
        <v>24</v>
      </c>
      <c r="F103" s="5" t="n">
        <v>1000</v>
      </c>
      <c r="G103" s="7" t="n">
        <v>221</v>
      </c>
      <c r="H103" s="6" t="s">
        <v>474</v>
      </c>
      <c r="I103" s="7" t="n">
        <v>238</v>
      </c>
      <c r="J103" s="6" t="s">
        <v>229</v>
      </c>
      <c r="K103" s="7" t="n">
        <v>148.58</v>
      </c>
      <c r="L103" s="6" t="s">
        <v>475</v>
      </c>
      <c r="M103" s="7"/>
      <c r="N103" s="6"/>
      <c r="O103" s="7" t="n">
        <v>238</v>
      </c>
      <c r="P103" s="6" t="s">
        <v>476</v>
      </c>
      <c r="Q103" s="7"/>
      <c r="R103" s="6"/>
      <c r="S103" s="5" t="n">
        <f aca="false">COUNT(G103,I103,K103,M103,O103,Q103)</f>
        <v>4</v>
      </c>
      <c r="T103" s="8" t="n">
        <f aca="false">IF(S103=0,"",MIN(G103,I103,K103,M103,O103,Q103))</f>
        <v>148.58</v>
      </c>
      <c r="U103" s="9" t="str">
        <f aca="false">IF(S103=0,"No quote",LEFT(IF(AND(ISNUMBER(G103),G103=T103),"Ahsan, ","")&amp;IF(AND(ISNUMBER(I103),I103=T103),"Aslam, ","")&amp;IF(AND(ISNUMBER(K103),K103=T103),"Jamil, ","")&amp;IF(AND(ISNUMBER(M103),M103=T103),"Muller, ","")&amp;IF(AND(ISNUMBER(O103),O103=T103),"NMMC, ","")&amp;IF(AND(ISNUMBER(Q103),Q103=T103),"Platinum, ",""),LEN(IF(AND(ISNUMBER(G103),G103=T103),"Ahsan, ","")&amp;IF(AND(ISNUMBER(I103),I103=T103),"Aslam, ","")&amp;IF(AND(ISNUMBER(K103),K103=T103),"Jamil, ","")&amp;IF(AND(ISNUMBER(M103),M103=T103),"Muller, ","")&amp;IF(AND(ISNUMBER(O103),O103=T103),"NMMC, ","")&amp;IF(AND(ISNUMBER(Q103),Q103=T103),"Platinum, ",""))-2))</f>
        <v>Jamil</v>
      </c>
      <c r="V103" s="10" t="n">
        <f aca="false">IF(S103=0,"",T103*F103)</f>
        <v>148580</v>
      </c>
      <c r="W103" s="6"/>
    </row>
    <row r="104" customFormat="false" ht="35.05" hidden="false" customHeight="false" outlineLevel="0" collapsed="false">
      <c r="A104" s="5" t="n">
        <v>99</v>
      </c>
      <c r="B104" s="6" t="s">
        <v>477</v>
      </c>
      <c r="C104" s="6" t="s">
        <v>478</v>
      </c>
      <c r="D104" s="6" t="s">
        <v>479</v>
      </c>
      <c r="E104" s="5" t="s">
        <v>24</v>
      </c>
      <c r="F104" s="5" t="n">
        <v>200</v>
      </c>
      <c r="G104" s="7"/>
      <c r="H104" s="6"/>
      <c r="I104" s="7"/>
      <c r="J104" s="6"/>
      <c r="K104" s="7" t="n">
        <v>249.96</v>
      </c>
      <c r="L104" s="6" t="s">
        <v>480</v>
      </c>
      <c r="M104" s="7"/>
      <c r="N104" s="6"/>
      <c r="O104" s="7"/>
      <c r="P104" s="6"/>
      <c r="Q104" s="7"/>
      <c r="R104" s="6"/>
      <c r="S104" s="5" t="n">
        <f aca="false">COUNT(G104,I104,K104,M104,O104,Q104)</f>
        <v>1</v>
      </c>
      <c r="T104" s="8" t="n">
        <f aca="false">IF(S104=0,"",MIN(G104,I104,K104,M104,O104,Q104))</f>
        <v>249.96</v>
      </c>
      <c r="U104" s="9" t="str">
        <f aca="false">IF(S104=0,"No quote",LEFT(IF(AND(ISNUMBER(G104),G104=T104),"Ahsan, ","")&amp;IF(AND(ISNUMBER(I104),I104=T104),"Aslam, ","")&amp;IF(AND(ISNUMBER(K104),K104=T104),"Jamil, ","")&amp;IF(AND(ISNUMBER(M104),M104=T104),"Muller, ","")&amp;IF(AND(ISNUMBER(O104),O104=T104),"NMMC, ","")&amp;IF(AND(ISNUMBER(Q104),Q104=T104),"Platinum, ",""),LEN(IF(AND(ISNUMBER(G104),G104=T104),"Ahsan, ","")&amp;IF(AND(ISNUMBER(I104),I104=T104),"Aslam, ","")&amp;IF(AND(ISNUMBER(K104),K104=T104),"Jamil, ","")&amp;IF(AND(ISNUMBER(M104),M104=T104),"Muller, ","")&amp;IF(AND(ISNUMBER(O104),O104=T104),"NMMC, ","")&amp;IF(AND(ISNUMBER(Q104),Q104=T104),"Platinum, ",""))-2))</f>
        <v>Jamil</v>
      </c>
      <c r="V104" s="10" t="n">
        <f aca="false">IF(S104=0,"",T104*F104)</f>
        <v>49992</v>
      </c>
      <c r="W104" s="6"/>
    </row>
    <row r="105" customFormat="false" ht="35.05" hidden="false" customHeight="false" outlineLevel="0" collapsed="false">
      <c r="A105" s="5" t="n">
        <v>100</v>
      </c>
      <c r="B105" s="6" t="s">
        <v>481</v>
      </c>
      <c r="C105" s="6" t="s">
        <v>482</v>
      </c>
      <c r="D105" s="6" t="s">
        <v>483</v>
      </c>
      <c r="E105" s="5" t="s">
        <v>24</v>
      </c>
      <c r="F105" s="5" t="n">
        <v>100</v>
      </c>
      <c r="G105" s="7" t="n">
        <v>85</v>
      </c>
      <c r="H105" s="6" t="s">
        <v>484</v>
      </c>
      <c r="I105" s="7"/>
      <c r="J105" s="6"/>
      <c r="K105" s="7"/>
      <c r="L105" s="6"/>
      <c r="M105" s="7" t="n">
        <v>169.15</v>
      </c>
      <c r="N105" s="6" t="s">
        <v>485</v>
      </c>
      <c r="O105" s="7"/>
      <c r="P105" s="6"/>
      <c r="Q105" s="7" t="n">
        <v>206.28</v>
      </c>
      <c r="R105" s="6" t="s">
        <v>486</v>
      </c>
      <c r="S105" s="5" t="n">
        <f aca="false">COUNT(G105,I105,K105,M105,O105,Q105)</f>
        <v>3</v>
      </c>
      <c r="T105" s="8" t="n">
        <f aca="false">IF(S105=0,"",MIN(G105,I105,K105,M105,O105,Q105))</f>
        <v>85</v>
      </c>
      <c r="U105" s="9" t="str">
        <f aca="false">IF(S105=0,"No quote",LEFT(IF(AND(ISNUMBER(G105),G105=T105),"Ahsan, ","")&amp;IF(AND(ISNUMBER(I105),I105=T105),"Aslam, ","")&amp;IF(AND(ISNUMBER(K105),K105=T105),"Jamil, ","")&amp;IF(AND(ISNUMBER(M105),M105=T105),"Muller, ","")&amp;IF(AND(ISNUMBER(O105),O105=T105),"NMMC, ","")&amp;IF(AND(ISNUMBER(Q105),Q105=T105),"Platinum, ",""),LEN(IF(AND(ISNUMBER(G105),G105=T105),"Ahsan, ","")&amp;IF(AND(ISNUMBER(I105),I105=T105),"Aslam, ","")&amp;IF(AND(ISNUMBER(K105),K105=T105),"Jamil, ","")&amp;IF(AND(ISNUMBER(M105),M105=T105),"Muller, ","")&amp;IF(AND(ISNUMBER(O105),O105=T105),"NMMC, ","")&amp;IF(AND(ISNUMBER(Q105),Q105=T105),"Platinum, ",""))-2))</f>
        <v>Ahsan</v>
      </c>
      <c r="V105" s="10" t="n">
        <f aca="false">IF(S105=0,"",T105*F105)</f>
        <v>8500</v>
      </c>
      <c r="W105" s="6"/>
    </row>
    <row r="106" customFormat="false" ht="46.25" hidden="false" customHeight="false" outlineLevel="0" collapsed="false">
      <c r="A106" s="5" t="n">
        <v>101</v>
      </c>
      <c r="B106" s="6" t="s">
        <v>487</v>
      </c>
      <c r="C106" s="6" t="s">
        <v>488</v>
      </c>
      <c r="D106" s="6" t="s">
        <v>489</v>
      </c>
      <c r="E106" s="5" t="s">
        <v>24</v>
      </c>
      <c r="F106" s="5" t="n">
        <v>500</v>
      </c>
      <c r="G106" s="7"/>
      <c r="H106" s="6"/>
      <c r="I106" s="7"/>
      <c r="J106" s="6"/>
      <c r="K106" s="7" t="n">
        <v>242.25</v>
      </c>
      <c r="L106" s="6" t="s">
        <v>490</v>
      </c>
      <c r="M106" s="7" t="n">
        <v>153</v>
      </c>
      <c r="N106" s="6" t="s">
        <v>491</v>
      </c>
      <c r="O106" s="7"/>
      <c r="P106" s="6"/>
      <c r="Q106" s="7"/>
      <c r="R106" s="6"/>
      <c r="S106" s="5" t="n">
        <f aca="false">COUNT(G106,I106,K106,M106,O106,Q106)</f>
        <v>2</v>
      </c>
      <c r="T106" s="8" t="n">
        <f aca="false">IF(S106=0,"",MIN(G106,I106,K106,M106,O106,Q106))</f>
        <v>153</v>
      </c>
      <c r="U106" s="9" t="str">
        <f aca="false">IF(S106=0,"No quote",LEFT(IF(AND(ISNUMBER(G106),G106=T106),"Ahsan, ","")&amp;IF(AND(ISNUMBER(I106),I106=T106),"Aslam, ","")&amp;IF(AND(ISNUMBER(K106),K106=T106),"Jamil, ","")&amp;IF(AND(ISNUMBER(M106),M106=T106),"Muller, ","")&amp;IF(AND(ISNUMBER(O106),O106=T106),"NMMC, ","")&amp;IF(AND(ISNUMBER(Q106),Q106=T106),"Platinum, ",""),LEN(IF(AND(ISNUMBER(G106),G106=T106),"Ahsan, ","")&amp;IF(AND(ISNUMBER(I106),I106=T106),"Aslam, ","")&amp;IF(AND(ISNUMBER(K106),K106=T106),"Jamil, ","")&amp;IF(AND(ISNUMBER(M106),M106=T106),"Muller, ","")&amp;IF(AND(ISNUMBER(O106),O106=T106),"NMMC, ","")&amp;IF(AND(ISNUMBER(Q106),Q106=T106),"Platinum, ",""))-2))</f>
        <v>Muller</v>
      </c>
      <c r="V106" s="10" t="n">
        <f aca="false">IF(S106=0,"",T106*F106)</f>
        <v>76500</v>
      </c>
      <c r="W106" s="6"/>
    </row>
    <row r="107" customFormat="false" ht="15" hidden="false" customHeight="false" outlineLevel="0" collapsed="false">
      <c r="A107" s="5" t="n">
        <v>102</v>
      </c>
      <c r="B107" s="6" t="s">
        <v>492</v>
      </c>
      <c r="C107" s="6" t="s">
        <v>493</v>
      </c>
      <c r="D107" s="6" t="s">
        <v>494</v>
      </c>
      <c r="E107" s="5" t="s">
        <v>24</v>
      </c>
      <c r="F107" s="5" t="n">
        <v>300</v>
      </c>
      <c r="G107" s="7"/>
      <c r="H107" s="6"/>
      <c r="I107" s="7"/>
      <c r="J107" s="6"/>
      <c r="K107" s="7" t="n">
        <v>104.26</v>
      </c>
      <c r="L107" s="6" t="s">
        <v>495</v>
      </c>
      <c r="M107" s="7"/>
      <c r="N107" s="6"/>
      <c r="O107" s="7"/>
      <c r="P107" s="6"/>
      <c r="Q107" s="7"/>
      <c r="R107" s="6"/>
      <c r="S107" s="5" t="n">
        <f aca="false">COUNT(G107,I107,K107,M107,O107,Q107)</f>
        <v>1</v>
      </c>
      <c r="T107" s="8" t="n">
        <f aca="false">IF(S107=0,"",MIN(G107,I107,K107,M107,O107,Q107))</f>
        <v>104.26</v>
      </c>
      <c r="U107" s="9" t="str">
        <f aca="false">IF(S107=0,"No quote",LEFT(IF(AND(ISNUMBER(G107),G107=T107),"Ahsan, ","")&amp;IF(AND(ISNUMBER(I107),I107=T107),"Aslam, ","")&amp;IF(AND(ISNUMBER(K107),K107=T107),"Jamil, ","")&amp;IF(AND(ISNUMBER(M107),M107=T107),"Muller, ","")&amp;IF(AND(ISNUMBER(O107),O107=T107),"NMMC, ","")&amp;IF(AND(ISNUMBER(Q107),Q107=T107),"Platinum, ",""),LEN(IF(AND(ISNUMBER(G107),G107=T107),"Ahsan, ","")&amp;IF(AND(ISNUMBER(I107),I107=T107),"Aslam, ","")&amp;IF(AND(ISNUMBER(K107),K107=T107),"Jamil, ","")&amp;IF(AND(ISNUMBER(M107),M107=T107),"Muller, ","")&amp;IF(AND(ISNUMBER(O107),O107=T107),"NMMC, ","")&amp;IF(AND(ISNUMBER(Q107),Q107=T107),"Platinum, ",""))-2))</f>
        <v>Jamil</v>
      </c>
      <c r="V107" s="10" t="n">
        <f aca="false">IF(S107=0,"",T107*F107)</f>
        <v>31278</v>
      </c>
      <c r="W107" s="6"/>
    </row>
    <row r="108" customFormat="false" ht="46.25" hidden="false" customHeight="false" outlineLevel="0" collapsed="false">
      <c r="A108" s="5" t="n">
        <v>103</v>
      </c>
      <c r="B108" s="6" t="s">
        <v>496</v>
      </c>
      <c r="C108" s="6" t="s">
        <v>497</v>
      </c>
      <c r="D108" s="6" t="s">
        <v>498</v>
      </c>
      <c r="E108" s="5" t="s">
        <v>24</v>
      </c>
      <c r="F108" s="5" t="n">
        <v>200</v>
      </c>
      <c r="G108" s="7" t="n">
        <v>147.05</v>
      </c>
      <c r="H108" s="6" t="s">
        <v>499</v>
      </c>
      <c r="I108" s="7"/>
      <c r="J108" s="6"/>
      <c r="K108" s="7"/>
      <c r="L108" s="6"/>
      <c r="M108" s="7"/>
      <c r="N108" s="6"/>
      <c r="O108" s="7" t="n">
        <v>108.8</v>
      </c>
      <c r="P108" s="6" t="s">
        <v>500</v>
      </c>
      <c r="Q108" s="7"/>
      <c r="R108" s="6"/>
      <c r="S108" s="5" t="n">
        <f aca="false">COUNT(G108,I108,K108,M108,O108,Q108)</f>
        <v>2</v>
      </c>
      <c r="T108" s="8" t="n">
        <f aca="false">IF(S108=0,"",MIN(G108,I108,K108,M108,O108,Q108))</f>
        <v>108.8</v>
      </c>
      <c r="U108" s="9" t="str">
        <f aca="false">IF(S108=0,"No quote",LEFT(IF(AND(ISNUMBER(G108),G108=T108),"Ahsan, ","")&amp;IF(AND(ISNUMBER(I108),I108=T108),"Aslam, ","")&amp;IF(AND(ISNUMBER(K108),K108=T108),"Jamil, ","")&amp;IF(AND(ISNUMBER(M108),M108=T108),"Muller, ","")&amp;IF(AND(ISNUMBER(O108),O108=T108),"NMMC, ","")&amp;IF(AND(ISNUMBER(Q108),Q108=T108),"Platinum, ",""),LEN(IF(AND(ISNUMBER(G108),G108=T108),"Ahsan, ","")&amp;IF(AND(ISNUMBER(I108),I108=T108),"Aslam, ","")&amp;IF(AND(ISNUMBER(K108),K108=T108),"Jamil, ","")&amp;IF(AND(ISNUMBER(M108),M108=T108),"Muller, ","")&amp;IF(AND(ISNUMBER(O108),O108=T108),"NMMC, ","")&amp;IF(AND(ISNUMBER(Q108),Q108=T108),"Platinum, ",""))-2))</f>
        <v>NMMC</v>
      </c>
      <c r="V108" s="10" t="n">
        <f aca="false">IF(S108=0,"",T108*F108)</f>
        <v>21760</v>
      </c>
      <c r="W108" s="6"/>
    </row>
    <row r="109" customFormat="false" ht="35.05" hidden="false" customHeight="false" outlineLevel="0" collapsed="false">
      <c r="A109" s="5" t="n">
        <v>104</v>
      </c>
      <c r="B109" s="6" t="s">
        <v>501</v>
      </c>
      <c r="C109" s="6" t="s">
        <v>502</v>
      </c>
      <c r="D109" s="6" t="s">
        <v>503</v>
      </c>
      <c r="E109" s="5" t="s">
        <v>24</v>
      </c>
      <c r="F109" s="5" t="n">
        <v>100</v>
      </c>
      <c r="G109" s="7" t="n">
        <v>292.67</v>
      </c>
      <c r="H109" s="6" t="s">
        <v>198</v>
      </c>
      <c r="I109" s="7" t="n">
        <v>292.67</v>
      </c>
      <c r="J109" s="6" t="s">
        <v>39</v>
      </c>
      <c r="K109" s="7" t="n">
        <v>531.57</v>
      </c>
      <c r="L109" s="6" t="s">
        <v>504</v>
      </c>
      <c r="M109" s="7" t="n">
        <v>219.5</v>
      </c>
      <c r="N109" s="6" t="s">
        <v>505</v>
      </c>
      <c r="O109" s="7"/>
      <c r="P109" s="6"/>
      <c r="Q109" s="7"/>
      <c r="R109" s="6"/>
      <c r="S109" s="5" t="n">
        <f aca="false">COUNT(G109,I109,K109,M109,O109,Q109)</f>
        <v>4</v>
      </c>
      <c r="T109" s="8" t="n">
        <f aca="false">IF(S109=0,"",MIN(G109,I109,K109,M109,O109,Q109))</f>
        <v>219.5</v>
      </c>
      <c r="U109" s="9" t="str">
        <f aca="false">IF(S109=0,"No quote",LEFT(IF(AND(ISNUMBER(G109),G109=T109),"Ahsan, ","")&amp;IF(AND(ISNUMBER(I109),I109=T109),"Aslam, ","")&amp;IF(AND(ISNUMBER(K109),K109=T109),"Jamil, ","")&amp;IF(AND(ISNUMBER(M109),M109=T109),"Muller, ","")&amp;IF(AND(ISNUMBER(O109),O109=T109),"NMMC, ","")&amp;IF(AND(ISNUMBER(Q109),Q109=T109),"Platinum, ",""),LEN(IF(AND(ISNUMBER(G109),G109=T109),"Ahsan, ","")&amp;IF(AND(ISNUMBER(I109),I109=T109),"Aslam, ","")&amp;IF(AND(ISNUMBER(K109),K109=T109),"Jamil, ","")&amp;IF(AND(ISNUMBER(M109),M109=T109),"Muller, ","")&amp;IF(AND(ISNUMBER(O109),O109=T109),"NMMC, ","")&amp;IF(AND(ISNUMBER(Q109),Q109=T109),"Platinum, ",""))-2))</f>
        <v>Muller</v>
      </c>
      <c r="V109" s="10" t="n">
        <f aca="false">IF(S109=0,"",T109*F109)</f>
        <v>21950</v>
      </c>
      <c r="W109" s="6"/>
    </row>
    <row r="110" customFormat="false" ht="46.25" hidden="false" customHeight="false" outlineLevel="0" collapsed="false">
      <c r="A110" s="5" t="n">
        <v>105</v>
      </c>
      <c r="B110" s="6" t="s">
        <v>506</v>
      </c>
      <c r="C110" s="6" t="s">
        <v>507</v>
      </c>
      <c r="D110" s="6" t="s">
        <v>508</v>
      </c>
      <c r="E110" s="5" t="s">
        <v>24</v>
      </c>
      <c r="F110" s="5" t="n">
        <v>100</v>
      </c>
      <c r="G110" s="7" t="n">
        <v>180.11</v>
      </c>
      <c r="H110" s="6" t="s">
        <v>198</v>
      </c>
      <c r="I110" s="7" t="n">
        <v>180.11</v>
      </c>
      <c r="J110" s="6" t="s">
        <v>39</v>
      </c>
      <c r="K110" s="7" t="n">
        <v>322.69</v>
      </c>
      <c r="L110" s="6" t="s">
        <v>509</v>
      </c>
      <c r="M110" s="7" t="n">
        <v>139.77</v>
      </c>
      <c r="N110" s="6" t="s">
        <v>505</v>
      </c>
      <c r="O110" s="7"/>
      <c r="P110" s="6"/>
      <c r="Q110" s="7"/>
      <c r="R110" s="6"/>
      <c r="S110" s="5" t="n">
        <f aca="false">COUNT(G110,I110,K110,M110,O110,Q110)</f>
        <v>4</v>
      </c>
      <c r="T110" s="8" t="n">
        <f aca="false">IF(S110=0,"",MIN(G110,I110,K110,M110,O110,Q110))</f>
        <v>139.77</v>
      </c>
      <c r="U110" s="9" t="str">
        <f aca="false">IF(S110=0,"No quote",LEFT(IF(AND(ISNUMBER(G110),G110=T110),"Ahsan, ","")&amp;IF(AND(ISNUMBER(I110),I110=T110),"Aslam, ","")&amp;IF(AND(ISNUMBER(K110),K110=T110),"Jamil, ","")&amp;IF(AND(ISNUMBER(M110),M110=T110),"Muller, ","")&amp;IF(AND(ISNUMBER(O110),O110=T110),"NMMC, ","")&amp;IF(AND(ISNUMBER(Q110),Q110=T110),"Platinum, ",""),LEN(IF(AND(ISNUMBER(G110),G110=T110),"Ahsan, ","")&amp;IF(AND(ISNUMBER(I110),I110=T110),"Aslam, ","")&amp;IF(AND(ISNUMBER(K110),K110=T110),"Jamil, ","")&amp;IF(AND(ISNUMBER(M110),M110=T110),"Muller, ","")&amp;IF(AND(ISNUMBER(O110),O110=T110),"NMMC, ","")&amp;IF(AND(ISNUMBER(Q110),Q110=T110),"Platinum, ",""))-2))</f>
        <v>Muller</v>
      </c>
      <c r="V110" s="10" t="n">
        <f aca="false">IF(S110=0,"",T110*F110)</f>
        <v>13977</v>
      </c>
      <c r="W110" s="6"/>
    </row>
    <row r="111" customFormat="false" ht="23.85" hidden="false" customHeight="false" outlineLevel="0" collapsed="false">
      <c r="A111" s="5" t="n">
        <v>106</v>
      </c>
      <c r="B111" s="6" t="s">
        <v>510</v>
      </c>
      <c r="C111" s="6" t="s">
        <v>511</v>
      </c>
      <c r="D111" s="6" t="s">
        <v>512</v>
      </c>
      <c r="E111" s="5" t="s">
        <v>24</v>
      </c>
      <c r="F111" s="5" t="n">
        <v>500</v>
      </c>
      <c r="G111" s="7"/>
      <c r="H111" s="6"/>
      <c r="I111" s="7"/>
      <c r="J111" s="6"/>
      <c r="K111" s="7" t="n">
        <v>145.35</v>
      </c>
      <c r="L111" s="6" t="s">
        <v>513</v>
      </c>
      <c r="M111" s="7"/>
      <c r="N111" s="6"/>
      <c r="O111" s="7"/>
      <c r="P111" s="6"/>
      <c r="Q111" s="7"/>
      <c r="R111" s="6"/>
      <c r="S111" s="5" t="n">
        <f aca="false">COUNT(G111,I111,K111,M111,O111,Q111)</f>
        <v>1</v>
      </c>
      <c r="T111" s="8" t="n">
        <f aca="false">IF(S111=0,"",MIN(G111,I111,K111,M111,O111,Q111))</f>
        <v>145.35</v>
      </c>
      <c r="U111" s="9" t="str">
        <f aca="false">IF(S111=0,"No quote",LEFT(IF(AND(ISNUMBER(G111),G111=T111),"Ahsan, ","")&amp;IF(AND(ISNUMBER(I111),I111=T111),"Aslam, ","")&amp;IF(AND(ISNUMBER(K111),K111=T111),"Jamil, ","")&amp;IF(AND(ISNUMBER(M111),M111=T111),"Muller, ","")&amp;IF(AND(ISNUMBER(O111),O111=T111),"NMMC, ","")&amp;IF(AND(ISNUMBER(Q111),Q111=T111),"Platinum, ",""),LEN(IF(AND(ISNUMBER(G111),G111=T111),"Ahsan, ","")&amp;IF(AND(ISNUMBER(I111),I111=T111),"Aslam, ","")&amp;IF(AND(ISNUMBER(K111),K111=T111),"Jamil, ","")&amp;IF(AND(ISNUMBER(M111),M111=T111),"Muller, ","")&amp;IF(AND(ISNUMBER(O111),O111=T111),"NMMC, ","")&amp;IF(AND(ISNUMBER(Q111),Q111=T111),"Platinum, ",""))-2))</f>
        <v>Jamil</v>
      </c>
      <c r="V111" s="10" t="n">
        <f aca="false">IF(S111=0,"",T111*F111)</f>
        <v>72675</v>
      </c>
      <c r="W111" s="6"/>
    </row>
    <row r="112" customFormat="false" ht="35.05" hidden="false" customHeight="false" outlineLevel="0" collapsed="false">
      <c r="A112" s="5" t="n">
        <v>107</v>
      </c>
      <c r="B112" s="6" t="s">
        <v>514</v>
      </c>
      <c r="C112" s="6" t="s">
        <v>515</v>
      </c>
      <c r="D112" s="6" t="s">
        <v>516</v>
      </c>
      <c r="E112" s="5" t="s">
        <v>37</v>
      </c>
      <c r="F112" s="5" t="n">
        <v>10</v>
      </c>
      <c r="G112" s="7" t="n">
        <v>352.75</v>
      </c>
      <c r="H112" s="6" t="s">
        <v>517</v>
      </c>
      <c r="I112" s="7" t="n">
        <v>510</v>
      </c>
      <c r="J112" s="6" t="s">
        <v>71</v>
      </c>
      <c r="K112" s="7"/>
      <c r="L112" s="6"/>
      <c r="M112" s="7" t="n">
        <v>403.75</v>
      </c>
      <c r="N112" s="6" t="s">
        <v>518</v>
      </c>
      <c r="O112" s="7" t="n">
        <v>459.01</v>
      </c>
      <c r="P112" s="6" t="s">
        <v>519</v>
      </c>
      <c r="Q112" s="7"/>
      <c r="R112" s="6"/>
      <c r="S112" s="5" t="n">
        <f aca="false">COUNT(G112,I112,K112,M112,O112,Q112)</f>
        <v>4</v>
      </c>
      <c r="T112" s="8" t="n">
        <f aca="false">IF(S112=0,"",MIN(G112,I112,K112,M112,O112,Q112))</f>
        <v>352.75</v>
      </c>
      <c r="U112" s="9" t="str">
        <f aca="false">IF(S112=0,"No quote",LEFT(IF(AND(ISNUMBER(G112),G112=T112),"Ahsan, ","")&amp;IF(AND(ISNUMBER(I112),I112=T112),"Aslam, ","")&amp;IF(AND(ISNUMBER(K112),K112=T112),"Jamil, ","")&amp;IF(AND(ISNUMBER(M112),M112=T112),"Muller, ","")&amp;IF(AND(ISNUMBER(O112),O112=T112),"NMMC, ","")&amp;IF(AND(ISNUMBER(Q112),Q112=T112),"Platinum, ",""),LEN(IF(AND(ISNUMBER(G112),G112=T112),"Ahsan, ","")&amp;IF(AND(ISNUMBER(I112),I112=T112),"Aslam, ","")&amp;IF(AND(ISNUMBER(K112),K112=T112),"Jamil, ","")&amp;IF(AND(ISNUMBER(M112),M112=T112),"Muller, ","")&amp;IF(AND(ISNUMBER(O112),O112=T112),"NMMC, ","")&amp;IF(AND(ISNUMBER(Q112),Q112=T112),"Platinum, ",""))-2))</f>
        <v>Ahsan</v>
      </c>
      <c r="V112" s="10" t="n">
        <f aca="false">IF(S112=0,"",T112*F112)</f>
        <v>3527.5</v>
      </c>
      <c r="W112" s="6"/>
    </row>
    <row r="113" customFormat="false" ht="46.25" hidden="false" customHeight="false" outlineLevel="0" collapsed="false">
      <c r="A113" s="5" t="n">
        <v>108</v>
      </c>
      <c r="B113" s="6" t="s">
        <v>520</v>
      </c>
      <c r="C113" s="6" t="s">
        <v>521</v>
      </c>
      <c r="D113" s="6" t="s">
        <v>522</v>
      </c>
      <c r="E113" s="5" t="s">
        <v>37</v>
      </c>
      <c r="F113" s="5" t="n">
        <v>40</v>
      </c>
      <c r="G113" s="7" t="n">
        <v>552.5</v>
      </c>
      <c r="H113" s="6" t="s">
        <v>523</v>
      </c>
      <c r="I113" s="7"/>
      <c r="J113" s="6"/>
      <c r="K113" s="7"/>
      <c r="L113" s="6"/>
      <c r="M113" s="7"/>
      <c r="N113" s="6"/>
      <c r="O113" s="7" t="n">
        <v>880.94</v>
      </c>
      <c r="P113" s="6" t="s">
        <v>524</v>
      </c>
      <c r="Q113" s="7"/>
      <c r="R113" s="6"/>
      <c r="S113" s="5" t="n">
        <f aca="false">COUNT(G113,I113,K113,M113,O113,Q113)</f>
        <v>2</v>
      </c>
      <c r="T113" s="8" t="n">
        <f aca="false">IF(S113=0,"",MIN(G113,I113,K113,M113,O113,Q113))</f>
        <v>552.5</v>
      </c>
      <c r="U113" s="9" t="str">
        <f aca="false">IF(S113=0,"No quote",LEFT(IF(AND(ISNUMBER(G113),G113=T113),"Ahsan, ","")&amp;IF(AND(ISNUMBER(I113),I113=T113),"Aslam, ","")&amp;IF(AND(ISNUMBER(K113),K113=T113),"Jamil, ","")&amp;IF(AND(ISNUMBER(M113),M113=T113),"Muller, ","")&amp;IF(AND(ISNUMBER(O113),O113=T113),"NMMC, ","")&amp;IF(AND(ISNUMBER(Q113),Q113=T113),"Platinum, ",""),LEN(IF(AND(ISNUMBER(G113),G113=T113),"Ahsan, ","")&amp;IF(AND(ISNUMBER(I113),I113=T113),"Aslam, ","")&amp;IF(AND(ISNUMBER(K113),K113=T113),"Jamil, ","")&amp;IF(AND(ISNUMBER(M113),M113=T113),"Muller, ","")&amp;IF(AND(ISNUMBER(O113),O113=T113),"NMMC, ","")&amp;IF(AND(ISNUMBER(Q113),Q113=T113),"Platinum, ",""))-2))</f>
        <v>Ahsan</v>
      </c>
      <c r="V113" s="10" t="n">
        <f aca="false">IF(S113=0,"",T113*F113)</f>
        <v>22100</v>
      </c>
      <c r="W113" s="6"/>
    </row>
    <row r="114" customFormat="false" ht="35.05" hidden="false" customHeight="false" outlineLevel="0" collapsed="false">
      <c r="A114" s="5" t="n">
        <v>109</v>
      </c>
      <c r="B114" s="6" t="s">
        <v>525</v>
      </c>
      <c r="C114" s="6" t="s">
        <v>526</v>
      </c>
      <c r="D114" s="6" t="s">
        <v>527</v>
      </c>
      <c r="E114" s="5" t="s">
        <v>24</v>
      </c>
      <c r="F114" s="5" t="n">
        <v>1000</v>
      </c>
      <c r="G114" s="7"/>
      <c r="H114" s="6"/>
      <c r="I114" s="7"/>
      <c r="J114" s="6"/>
      <c r="K114" s="7"/>
      <c r="L114" s="6"/>
      <c r="M114" s="7"/>
      <c r="N114" s="6"/>
      <c r="O114" s="7"/>
      <c r="P114" s="6"/>
      <c r="Q114" s="7"/>
      <c r="R114" s="6"/>
      <c r="S114" s="5" t="n">
        <f aca="false">COUNT(G114,I114,K114,M114,O114,Q114)</f>
        <v>0</v>
      </c>
      <c r="T114" s="8" t="str">
        <f aca="false">IF(S114=0,"",MIN(G114,I114,K114,M114,O114,Q114))</f>
        <v/>
      </c>
      <c r="U114" s="9" t="str">
        <f aca="false">IF(S114=0,"No quote",LEFT(IF(AND(ISNUMBER(G114),G114=T114),"Ahsan, ","")&amp;IF(AND(ISNUMBER(I114),I114=T114),"Aslam, ","")&amp;IF(AND(ISNUMBER(K114),K114=T114),"Jamil, ","")&amp;IF(AND(ISNUMBER(M114),M114=T114),"Muller, ","")&amp;IF(AND(ISNUMBER(O114),O114=T114),"NMMC, ","")&amp;IF(AND(ISNUMBER(Q114),Q114=T114),"Platinum, ",""),LEN(IF(AND(ISNUMBER(G114),G114=T114),"Ahsan, ","")&amp;IF(AND(ISNUMBER(I114),I114=T114),"Aslam, ","")&amp;IF(AND(ISNUMBER(K114),K114=T114),"Jamil, ","")&amp;IF(AND(ISNUMBER(M114),M114=T114),"Muller, ","")&amp;IF(AND(ISNUMBER(O114),O114=T114),"NMMC, ","")&amp;IF(AND(ISNUMBER(Q114),Q114=T114),"Platinum, ",""))-2))</f>
        <v>No quote</v>
      </c>
      <c r="V114" s="10" t="str">
        <f aca="false">IF(S114=0,"",T114*F114)</f>
        <v/>
      </c>
      <c r="W114" s="6"/>
    </row>
    <row r="115" customFormat="false" ht="35.05" hidden="false" customHeight="false" outlineLevel="0" collapsed="false">
      <c r="A115" s="5" t="n">
        <v>110</v>
      </c>
      <c r="B115" s="6" t="s">
        <v>528</v>
      </c>
      <c r="C115" s="6" t="s">
        <v>529</v>
      </c>
      <c r="D115" s="6" t="s">
        <v>530</v>
      </c>
      <c r="E115" s="5" t="s">
        <v>37</v>
      </c>
      <c r="F115" s="5" t="n">
        <v>6</v>
      </c>
      <c r="G115" s="7"/>
      <c r="H115" s="6"/>
      <c r="I115" s="7"/>
      <c r="J115" s="6"/>
      <c r="K115" s="7"/>
      <c r="L115" s="6"/>
      <c r="M115" s="7"/>
      <c r="N115" s="6"/>
      <c r="O115" s="7" t="n">
        <v>1147.5</v>
      </c>
      <c r="P115" s="6" t="s">
        <v>531</v>
      </c>
      <c r="Q115" s="7"/>
      <c r="R115" s="6"/>
      <c r="S115" s="5" t="n">
        <f aca="false">COUNT(G115,I115,K115,M115,O115,Q115)</f>
        <v>1</v>
      </c>
      <c r="T115" s="8" t="n">
        <f aca="false">IF(S115=0,"",MIN(G115,I115,K115,M115,O115,Q115))</f>
        <v>1147.5</v>
      </c>
      <c r="U115" s="9" t="str">
        <f aca="false">IF(S115=0,"No quote",LEFT(IF(AND(ISNUMBER(G115),G115=T115),"Ahsan, ","")&amp;IF(AND(ISNUMBER(I115),I115=T115),"Aslam, ","")&amp;IF(AND(ISNUMBER(K115),K115=T115),"Jamil, ","")&amp;IF(AND(ISNUMBER(M115),M115=T115),"Muller, ","")&amp;IF(AND(ISNUMBER(O115),O115=T115),"NMMC, ","")&amp;IF(AND(ISNUMBER(Q115),Q115=T115),"Platinum, ",""),LEN(IF(AND(ISNUMBER(G115),G115=T115),"Ahsan, ","")&amp;IF(AND(ISNUMBER(I115),I115=T115),"Aslam, ","")&amp;IF(AND(ISNUMBER(K115),K115=T115),"Jamil, ","")&amp;IF(AND(ISNUMBER(M115),M115=T115),"Muller, ","")&amp;IF(AND(ISNUMBER(O115),O115=T115),"NMMC, ","")&amp;IF(AND(ISNUMBER(Q115),Q115=T115),"Platinum, ",""))-2))</f>
        <v>NMMC</v>
      </c>
      <c r="V115" s="10" t="n">
        <f aca="false">IF(S115=0,"",T115*F115)</f>
        <v>6885</v>
      </c>
      <c r="W115" s="6"/>
    </row>
    <row r="116" customFormat="false" ht="23.85" hidden="false" customHeight="false" outlineLevel="0" collapsed="false">
      <c r="A116" s="5" t="n">
        <v>111</v>
      </c>
      <c r="B116" s="6" t="s">
        <v>532</v>
      </c>
      <c r="C116" s="6" t="s">
        <v>533</v>
      </c>
      <c r="D116" s="6" t="s">
        <v>534</v>
      </c>
      <c r="E116" s="5" t="s">
        <v>37</v>
      </c>
      <c r="F116" s="5" t="n">
        <v>20</v>
      </c>
      <c r="G116" s="7"/>
      <c r="H116" s="6"/>
      <c r="I116" s="7" t="n">
        <v>7336.77</v>
      </c>
      <c r="J116" s="6" t="s">
        <v>326</v>
      </c>
      <c r="K116" s="7"/>
      <c r="L116" s="6"/>
      <c r="M116" s="7" t="n">
        <v>1134.75</v>
      </c>
      <c r="N116" s="6" t="s">
        <v>535</v>
      </c>
      <c r="O116" s="7"/>
      <c r="P116" s="6"/>
      <c r="Q116" s="7"/>
      <c r="R116" s="6"/>
      <c r="S116" s="5" t="n">
        <f aca="false">COUNT(G116,I116,K116,M116,O116,Q116)</f>
        <v>2</v>
      </c>
      <c r="T116" s="8" t="n">
        <f aca="false">IF(S116=0,"",MIN(G116,I116,K116,M116,O116,Q116))</f>
        <v>1134.75</v>
      </c>
      <c r="U116" s="9" t="str">
        <f aca="false">IF(S116=0,"No quote",LEFT(IF(AND(ISNUMBER(G116),G116=T116),"Ahsan, ","")&amp;IF(AND(ISNUMBER(I116),I116=T116),"Aslam, ","")&amp;IF(AND(ISNUMBER(K116),K116=T116),"Jamil, ","")&amp;IF(AND(ISNUMBER(M116),M116=T116),"Muller, ","")&amp;IF(AND(ISNUMBER(O116),O116=T116),"NMMC, ","")&amp;IF(AND(ISNUMBER(Q116),Q116=T116),"Platinum, ",""),LEN(IF(AND(ISNUMBER(G116),G116=T116),"Ahsan, ","")&amp;IF(AND(ISNUMBER(I116),I116=T116),"Aslam, ","")&amp;IF(AND(ISNUMBER(K116),K116=T116),"Jamil, ","")&amp;IF(AND(ISNUMBER(M116),M116=T116),"Muller, ","")&amp;IF(AND(ISNUMBER(O116),O116=T116),"NMMC, ","")&amp;IF(AND(ISNUMBER(Q116),Q116=T116),"Platinum, ",""))-2))</f>
        <v>Muller</v>
      </c>
      <c r="V116" s="10" t="n">
        <f aca="false">IF(S116=0,"",T116*F116)</f>
        <v>22695</v>
      </c>
      <c r="W116" s="6"/>
    </row>
    <row r="117" customFormat="false" ht="23.85" hidden="false" customHeight="false" outlineLevel="0" collapsed="false">
      <c r="A117" s="5" t="n">
        <v>112</v>
      </c>
      <c r="B117" s="6" t="s">
        <v>536</v>
      </c>
      <c r="C117" s="6" t="s">
        <v>537</v>
      </c>
      <c r="D117" s="6" t="s">
        <v>470</v>
      </c>
      <c r="E117" s="5" t="s">
        <v>24</v>
      </c>
      <c r="F117" s="5" t="n">
        <v>4</v>
      </c>
      <c r="G117" s="7"/>
      <c r="H117" s="6"/>
      <c r="I117" s="7" t="n">
        <v>637.5</v>
      </c>
      <c r="J117" s="6" t="s">
        <v>71</v>
      </c>
      <c r="K117" s="7"/>
      <c r="L117" s="6"/>
      <c r="M117" s="7"/>
      <c r="N117" s="6"/>
      <c r="O117" s="7" t="n">
        <v>585</v>
      </c>
      <c r="P117" s="6" t="s">
        <v>538</v>
      </c>
      <c r="Q117" s="7"/>
      <c r="R117" s="6"/>
      <c r="S117" s="5" t="n">
        <f aca="false">COUNT(G117,I117,K117,M117,O117,Q117)</f>
        <v>2</v>
      </c>
      <c r="T117" s="8" t="n">
        <f aca="false">IF(S117=0,"",MIN(G117,I117,K117,M117,O117,Q117))</f>
        <v>585</v>
      </c>
      <c r="U117" s="9" t="str">
        <f aca="false">IF(S117=0,"No quote",LEFT(IF(AND(ISNUMBER(G117),G117=T117),"Ahsan, ","")&amp;IF(AND(ISNUMBER(I117),I117=T117),"Aslam, ","")&amp;IF(AND(ISNUMBER(K117),K117=T117),"Jamil, ","")&amp;IF(AND(ISNUMBER(M117),M117=T117),"Muller, ","")&amp;IF(AND(ISNUMBER(O117),O117=T117),"NMMC, ","")&amp;IF(AND(ISNUMBER(Q117),Q117=T117),"Platinum, ",""),LEN(IF(AND(ISNUMBER(G117),G117=T117),"Ahsan, ","")&amp;IF(AND(ISNUMBER(I117),I117=T117),"Aslam, ","")&amp;IF(AND(ISNUMBER(K117),K117=T117),"Jamil, ","")&amp;IF(AND(ISNUMBER(M117),M117=T117),"Muller, ","")&amp;IF(AND(ISNUMBER(O117),O117=T117),"NMMC, ","")&amp;IF(AND(ISNUMBER(Q117),Q117=T117),"Platinum, ",""))-2))</f>
        <v>NMMC</v>
      </c>
      <c r="V117" s="10" t="n">
        <f aca="false">IF(S117=0,"",T117*F117)</f>
        <v>2340</v>
      </c>
      <c r="W117" s="6"/>
    </row>
    <row r="118" customFormat="false" ht="15" hidden="false" customHeight="false" outlineLevel="0" collapsed="false">
      <c r="A118" s="5" t="n">
        <v>113</v>
      </c>
      <c r="B118" s="6" t="s">
        <v>539</v>
      </c>
      <c r="C118" s="6" t="s">
        <v>540</v>
      </c>
      <c r="D118" s="6" t="s">
        <v>541</v>
      </c>
      <c r="E118" s="5" t="s">
        <v>24</v>
      </c>
      <c r="F118" s="5" t="n">
        <v>50</v>
      </c>
      <c r="G118" s="7" t="n">
        <v>233.75</v>
      </c>
      <c r="H118" s="6" t="s">
        <v>542</v>
      </c>
      <c r="I118" s="7" t="n">
        <v>137.22</v>
      </c>
      <c r="J118" s="6" t="s">
        <v>39</v>
      </c>
      <c r="K118" s="7"/>
      <c r="L118" s="6"/>
      <c r="M118" s="7"/>
      <c r="N118" s="6"/>
      <c r="O118" s="7"/>
      <c r="P118" s="6"/>
      <c r="Q118" s="7"/>
      <c r="R118" s="6"/>
      <c r="S118" s="5" t="n">
        <f aca="false">COUNT(G118,I118,K118,M118,O118,Q118)</f>
        <v>2</v>
      </c>
      <c r="T118" s="8" t="n">
        <f aca="false">IF(S118=0,"",MIN(G118,I118,K118,M118,O118,Q118))</f>
        <v>137.22</v>
      </c>
      <c r="U118" s="9" t="str">
        <f aca="false">IF(S118=0,"No quote",LEFT(IF(AND(ISNUMBER(G118),G118=T118),"Ahsan, ","")&amp;IF(AND(ISNUMBER(I118),I118=T118),"Aslam, ","")&amp;IF(AND(ISNUMBER(K118),K118=T118),"Jamil, ","")&amp;IF(AND(ISNUMBER(M118),M118=T118),"Muller, ","")&amp;IF(AND(ISNUMBER(O118),O118=T118),"NMMC, ","")&amp;IF(AND(ISNUMBER(Q118),Q118=T118),"Platinum, ",""),LEN(IF(AND(ISNUMBER(G118),G118=T118),"Ahsan, ","")&amp;IF(AND(ISNUMBER(I118),I118=T118),"Aslam, ","")&amp;IF(AND(ISNUMBER(K118),K118=T118),"Jamil, ","")&amp;IF(AND(ISNUMBER(M118),M118=T118),"Muller, ","")&amp;IF(AND(ISNUMBER(O118),O118=T118),"NMMC, ","")&amp;IF(AND(ISNUMBER(Q118),Q118=T118),"Platinum, ",""))-2))</f>
        <v>Aslam</v>
      </c>
      <c r="V118" s="10" t="n">
        <f aca="false">IF(S118=0,"",T118*F118)</f>
        <v>6861</v>
      </c>
      <c r="W118" s="6"/>
    </row>
    <row r="119" customFormat="false" ht="35.05" hidden="false" customHeight="false" outlineLevel="0" collapsed="false">
      <c r="A119" s="5" t="n">
        <v>114</v>
      </c>
      <c r="B119" s="6" t="s">
        <v>543</v>
      </c>
      <c r="C119" s="6" t="s">
        <v>544</v>
      </c>
      <c r="D119" s="6" t="s">
        <v>545</v>
      </c>
      <c r="E119" s="5" t="s">
        <v>37</v>
      </c>
      <c r="F119" s="5" t="n">
        <v>40</v>
      </c>
      <c r="G119" s="7" t="n">
        <v>250.75</v>
      </c>
      <c r="H119" s="6" t="s">
        <v>546</v>
      </c>
      <c r="I119" s="7"/>
      <c r="J119" s="6"/>
      <c r="K119" s="7"/>
      <c r="L119" s="6"/>
      <c r="M119" s="7"/>
      <c r="N119" s="6"/>
      <c r="O119" s="7"/>
      <c r="P119" s="6"/>
      <c r="Q119" s="7"/>
      <c r="R119" s="6"/>
      <c r="S119" s="5" t="n">
        <f aca="false">COUNT(G119,I119,K119,M119,O119,Q119)</f>
        <v>1</v>
      </c>
      <c r="T119" s="8" t="n">
        <f aca="false">IF(S119=0,"",MIN(G119,I119,K119,M119,O119,Q119))</f>
        <v>250.75</v>
      </c>
      <c r="U119" s="9" t="str">
        <f aca="false">IF(S119=0,"No quote",LEFT(IF(AND(ISNUMBER(G119),G119=T119),"Ahsan, ","")&amp;IF(AND(ISNUMBER(I119),I119=T119),"Aslam, ","")&amp;IF(AND(ISNUMBER(K119),K119=T119),"Jamil, ","")&amp;IF(AND(ISNUMBER(M119),M119=T119),"Muller, ","")&amp;IF(AND(ISNUMBER(O119),O119=T119),"NMMC, ","")&amp;IF(AND(ISNUMBER(Q119),Q119=T119),"Platinum, ",""),LEN(IF(AND(ISNUMBER(G119),G119=T119),"Ahsan, ","")&amp;IF(AND(ISNUMBER(I119),I119=T119),"Aslam, ","")&amp;IF(AND(ISNUMBER(K119),K119=T119),"Jamil, ","")&amp;IF(AND(ISNUMBER(M119),M119=T119),"Muller, ","")&amp;IF(AND(ISNUMBER(O119),O119=T119),"NMMC, ","")&amp;IF(AND(ISNUMBER(Q119),Q119=T119),"Platinum, ",""))-2))</f>
        <v>Ahsan</v>
      </c>
      <c r="V119" s="10" t="n">
        <f aca="false">IF(S119=0,"",T119*F119)</f>
        <v>10030</v>
      </c>
      <c r="W119" s="6"/>
    </row>
    <row r="120" customFormat="false" ht="23.85" hidden="false" customHeight="false" outlineLevel="0" collapsed="false">
      <c r="A120" s="5" t="n">
        <v>115</v>
      </c>
      <c r="B120" s="6" t="s">
        <v>547</v>
      </c>
      <c r="C120" s="6" t="s">
        <v>548</v>
      </c>
      <c r="D120" s="6" t="s">
        <v>549</v>
      </c>
      <c r="E120" s="5" t="s">
        <v>37</v>
      </c>
      <c r="F120" s="5" t="n">
        <v>2</v>
      </c>
      <c r="G120" s="7"/>
      <c r="H120" s="6"/>
      <c r="I120" s="7" t="n">
        <v>1275</v>
      </c>
      <c r="J120" s="6" t="s">
        <v>326</v>
      </c>
      <c r="K120" s="7"/>
      <c r="L120" s="6"/>
      <c r="M120" s="7"/>
      <c r="N120" s="6"/>
      <c r="O120" s="7"/>
      <c r="P120" s="6"/>
      <c r="Q120" s="7"/>
      <c r="R120" s="6"/>
      <c r="S120" s="5" t="n">
        <f aca="false">COUNT(G120,I120,K120,M120,O120,Q120)</f>
        <v>1</v>
      </c>
      <c r="T120" s="8" t="n">
        <f aca="false">IF(S120=0,"",MIN(G120,I120,K120,M120,O120,Q120))</f>
        <v>1275</v>
      </c>
      <c r="U120" s="9" t="str">
        <f aca="false">IF(S120=0,"No quote",LEFT(IF(AND(ISNUMBER(G120),G120=T120),"Ahsan, ","")&amp;IF(AND(ISNUMBER(I120),I120=T120),"Aslam, ","")&amp;IF(AND(ISNUMBER(K120),K120=T120),"Jamil, ","")&amp;IF(AND(ISNUMBER(M120),M120=T120),"Muller, ","")&amp;IF(AND(ISNUMBER(O120),O120=T120),"NMMC, ","")&amp;IF(AND(ISNUMBER(Q120),Q120=T120),"Platinum, ",""),LEN(IF(AND(ISNUMBER(G120),G120=T120),"Ahsan, ","")&amp;IF(AND(ISNUMBER(I120),I120=T120),"Aslam, ","")&amp;IF(AND(ISNUMBER(K120),K120=T120),"Jamil, ","")&amp;IF(AND(ISNUMBER(M120),M120=T120),"Muller, ","")&amp;IF(AND(ISNUMBER(O120),O120=T120),"NMMC, ","")&amp;IF(AND(ISNUMBER(Q120),Q120=T120),"Platinum, ",""))-2))</f>
        <v>Aslam</v>
      </c>
      <c r="V120" s="10" t="n">
        <f aca="false">IF(S120=0,"",T120*F120)</f>
        <v>2550</v>
      </c>
      <c r="W120" s="6"/>
    </row>
    <row r="121" customFormat="false" ht="23.85" hidden="false" customHeight="false" outlineLevel="0" collapsed="false">
      <c r="A121" s="5" t="n">
        <v>116</v>
      </c>
      <c r="B121" s="6" t="s">
        <v>550</v>
      </c>
      <c r="C121" s="6" t="s">
        <v>551</v>
      </c>
      <c r="D121" s="6" t="s">
        <v>552</v>
      </c>
      <c r="E121" s="5" t="s">
        <v>37</v>
      </c>
      <c r="F121" s="5" t="n">
        <v>20</v>
      </c>
      <c r="G121" s="7"/>
      <c r="H121" s="6"/>
      <c r="I121" s="7" t="n">
        <v>6324</v>
      </c>
      <c r="J121" s="6" t="s">
        <v>326</v>
      </c>
      <c r="K121" s="7"/>
      <c r="L121" s="6"/>
      <c r="M121" s="7"/>
      <c r="N121" s="6"/>
      <c r="O121" s="7"/>
      <c r="P121" s="6"/>
      <c r="Q121" s="7"/>
      <c r="R121" s="6"/>
      <c r="S121" s="5" t="n">
        <f aca="false">COUNT(G121,I121,K121,M121,O121,Q121)</f>
        <v>1</v>
      </c>
      <c r="T121" s="8" t="n">
        <f aca="false">IF(S121=0,"",MIN(G121,I121,K121,M121,O121,Q121))</f>
        <v>6324</v>
      </c>
      <c r="U121" s="9" t="str">
        <f aca="false">IF(S121=0,"No quote",LEFT(IF(AND(ISNUMBER(G121),G121=T121),"Ahsan, ","")&amp;IF(AND(ISNUMBER(I121),I121=T121),"Aslam, ","")&amp;IF(AND(ISNUMBER(K121),K121=T121),"Jamil, ","")&amp;IF(AND(ISNUMBER(M121),M121=T121),"Muller, ","")&amp;IF(AND(ISNUMBER(O121),O121=T121),"NMMC, ","")&amp;IF(AND(ISNUMBER(Q121),Q121=T121),"Platinum, ",""),LEN(IF(AND(ISNUMBER(G121),G121=T121),"Ahsan, ","")&amp;IF(AND(ISNUMBER(I121),I121=T121),"Aslam, ","")&amp;IF(AND(ISNUMBER(K121),K121=T121),"Jamil, ","")&amp;IF(AND(ISNUMBER(M121),M121=T121),"Muller, ","")&amp;IF(AND(ISNUMBER(O121),O121=T121),"NMMC, ","")&amp;IF(AND(ISNUMBER(Q121),Q121=T121),"Platinum, ",""))-2))</f>
        <v>Aslam</v>
      </c>
      <c r="V121" s="10" t="n">
        <f aca="false">IF(S121=0,"",T121*F121)</f>
        <v>126480</v>
      </c>
      <c r="W121" s="6"/>
    </row>
    <row r="122" customFormat="false" ht="46.25" hidden="false" customHeight="false" outlineLevel="0" collapsed="false">
      <c r="A122" s="5" t="n">
        <v>117</v>
      </c>
      <c r="B122" s="6" t="s">
        <v>553</v>
      </c>
      <c r="C122" s="6" t="s">
        <v>554</v>
      </c>
      <c r="D122" s="6" t="s">
        <v>555</v>
      </c>
      <c r="E122" s="5" t="s">
        <v>24</v>
      </c>
      <c r="F122" s="5" t="n">
        <v>2000</v>
      </c>
      <c r="G122" s="7" t="n">
        <v>187</v>
      </c>
      <c r="H122" s="6" t="s">
        <v>556</v>
      </c>
      <c r="I122" s="7"/>
      <c r="J122" s="6"/>
      <c r="K122" s="7"/>
      <c r="L122" s="6"/>
      <c r="M122" s="7" t="n">
        <v>178.5</v>
      </c>
      <c r="N122" s="6" t="s">
        <v>557</v>
      </c>
      <c r="O122" s="7" t="n">
        <v>136</v>
      </c>
      <c r="P122" s="6" t="s">
        <v>558</v>
      </c>
      <c r="Q122" s="7"/>
      <c r="R122" s="6"/>
      <c r="S122" s="5" t="n">
        <f aca="false">COUNT(G122,I122,K122,M122,O122,Q122)</f>
        <v>3</v>
      </c>
      <c r="T122" s="8" t="n">
        <f aca="false">IF(S122=0,"",MIN(G122,I122,K122,M122,O122,Q122))</f>
        <v>136</v>
      </c>
      <c r="U122" s="9" t="str">
        <f aca="false">IF(S122=0,"No quote",LEFT(IF(AND(ISNUMBER(G122),G122=T122),"Ahsan, ","")&amp;IF(AND(ISNUMBER(I122),I122=T122),"Aslam, ","")&amp;IF(AND(ISNUMBER(K122),K122=T122),"Jamil, ","")&amp;IF(AND(ISNUMBER(M122),M122=T122),"Muller, ","")&amp;IF(AND(ISNUMBER(O122),O122=T122),"NMMC, ","")&amp;IF(AND(ISNUMBER(Q122),Q122=T122),"Platinum, ",""),LEN(IF(AND(ISNUMBER(G122),G122=T122),"Ahsan, ","")&amp;IF(AND(ISNUMBER(I122),I122=T122),"Aslam, ","")&amp;IF(AND(ISNUMBER(K122),K122=T122),"Jamil, ","")&amp;IF(AND(ISNUMBER(M122),M122=T122),"Muller, ","")&amp;IF(AND(ISNUMBER(O122),O122=T122),"NMMC, ","")&amp;IF(AND(ISNUMBER(Q122),Q122=T122),"Platinum, ",""))-2))</f>
        <v>NMMC</v>
      </c>
      <c r="V122" s="10" t="n">
        <f aca="false">IF(S122=0,"",T122*F122)</f>
        <v>272000</v>
      </c>
      <c r="W122" s="6"/>
    </row>
    <row r="123" customFormat="false" ht="35.05" hidden="false" customHeight="false" outlineLevel="0" collapsed="false">
      <c r="A123" s="5" t="n">
        <v>118</v>
      </c>
      <c r="B123" s="6" t="s">
        <v>559</v>
      </c>
      <c r="C123" s="6" t="s">
        <v>560</v>
      </c>
      <c r="D123" s="6" t="s">
        <v>561</v>
      </c>
      <c r="E123" s="5" t="s">
        <v>24</v>
      </c>
      <c r="F123" s="5" t="n">
        <v>100</v>
      </c>
      <c r="G123" s="7" t="n">
        <v>272</v>
      </c>
      <c r="H123" s="6" t="s">
        <v>416</v>
      </c>
      <c r="I123" s="7"/>
      <c r="J123" s="6"/>
      <c r="K123" s="7"/>
      <c r="L123" s="6"/>
      <c r="M123" s="7" t="n">
        <v>1006.812</v>
      </c>
      <c r="N123" s="6" t="s">
        <v>417</v>
      </c>
      <c r="O123" s="7"/>
      <c r="P123" s="6"/>
      <c r="Q123" s="7"/>
      <c r="R123" s="6"/>
      <c r="S123" s="5" t="n">
        <f aca="false">COUNT(G123,I123,K123,M123,O123,Q123)</f>
        <v>2</v>
      </c>
      <c r="T123" s="8" t="n">
        <f aca="false">IF(S123=0,"",MIN(G123,I123,K123,M123,O123,Q123))</f>
        <v>272</v>
      </c>
      <c r="U123" s="9" t="str">
        <f aca="false">IF(S123=0,"No quote",LEFT(IF(AND(ISNUMBER(G123),G123=T123),"Ahsan, ","")&amp;IF(AND(ISNUMBER(I123),I123=T123),"Aslam, ","")&amp;IF(AND(ISNUMBER(K123),K123=T123),"Jamil, ","")&amp;IF(AND(ISNUMBER(M123),M123=T123),"Muller, ","")&amp;IF(AND(ISNUMBER(O123),O123=T123),"NMMC, ","")&amp;IF(AND(ISNUMBER(Q123),Q123=T123),"Platinum, ",""),LEN(IF(AND(ISNUMBER(G123),G123=T123),"Ahsan, ","")&amp;IF(AND(ISNUMBER(I123),I123=T123),"Aslam, ","")&amp;IF(AND(ISNUMBER(K123),K123=T123),"Jamil, ","")&amp;IF(AND(ISNUMBER(M123),M123=T123),"Muller, ","")&amp;IF(AND(ISNUMBER(O123),O123=T123),"NMMC, ","")&amp;IF(AND(ISNUMBER(Q123),Q123=T123),"Platinum, ",""))-2))</f>
        <v>Ahsan</v>
      </c>
      <c r="V123" s="10" t="n">
        <f aca="false">IF(S123=0,"",T123*F123)</f>
        <v>27200</v>
      </c>
      <c r="W123" s="6"/>
    </row>
    <row r="124" customFormat="false" ht="15" hidden="false" customHeight="false" outlineLevel="0" collapsed="false">
      <c r="A124" s="5" t="n">
        <v>119</v>
      </c>
      <c r="B124" s="6" t="s">
        <v>562</v>
      </c>
      <c r="C124" s="6" t="s">
        <v>563</v>
      </c>
      <c r="D124" s="6" t="s">
        <v>564</v>
      </c>
      <c r="E124" s="5" t="s">
        <v>37</v>
      </c>
      <c r="F124" s="5" t="n">
        <v>50</v>
      </c>
      <c r="G124" s="7"/>
      <c r="H124" s="6"/>
      <c r="I124" s="7"/>
      <c r="J124" s="6"/>
      <c r="K124" s="7"/>
      <c r="L124" s="6"/>
      <c r="M124" s="7" t="n">
        <v>677.88</v>
      </c>
      <c r="N124" s="6" t="s">
        <v>565</v>
      </c>
      <c r="O124" s="7"/>
      <c r="P124" s="6"/>
      <c r="Q124" s="7"/>
      <c r="R124" s="6"/>
      <c r="S124" s="5" t="n">
        <f aca="false">COUNT(G124,I124,K124,M124,O124,Q124)</f>
        <v>1</v>
      </c>
      <c r="T124" s="8" t="n">
        <f aca="false">IF(S124=0,"",MIN(G124,I124,K124,M124,O124,Q124))</f>
        <v>677.88</v>
      </c>
      <c r="U124" s="9" t="str">
        <f aca="false">IF(S124=0,"No quote",LEFT(IF(AND(ISNUMBER(G124),G124=T124),"Ahsan, ","")&amp;IF(AND(ISNUMBER(I124),I124=T124),"Aslam, ","")&amp;IF(AND(ISNUMBER(K124),K124=T124),"Jamil, ","")&amp;IF(AND(ISNUMBER(M124),M124=T124),"Muller, ","")&amp;IF(AND(ISNUMBER(O124),O124=T124),"NMMC, ","")&amp;IF(AND(ISNUMBER(Q124),Q124=T124),"Platinum, ",""),LEN(IF(AND(ISNUMBER(G124),G124=T124),"Ahsan, ","")&amp;IF(AND(ISNUMBER(I124),I124=T124),"Aslam, ","")&amp;IF(AND(ISNUMBER(K124),K124=T124),"Jamil, ","")&amp;IF(AND(ISNUMBER(M124),M124=T124),"Muller, ","")&amp;IF(AND(ISNUMBER(O124),O124=T124),"NMMC, ","")&amp;IF(AND(ISNUMBER(Q124),Q124=T124),"Platinum, ",""))-2))</f>
        <v>Muller</v>
      </c>
      <c r="V124" s="10" t="n">
        <f aca="false">IF(S124=0,"",T124*F124)</f>
        <v>33894</v>
      </c>
      <c r="W124" s="6"/>
    </row>
    <row r="125" customFormat="false" ht="23.85" hidden="false" customHeight="false" outlineLevel="0" collapsed="false">
      <c r="A125" s="5" t="n">
        <v>120</v>
      </c>
      <c r="B125" s="6" t="s">
        <v>566</v>
      </c>
      <c r="C125" s="6" t="s">
        <v>567</v>
      </c>
      <c r="D125" s="6" t="s">
        <v>568</v>
      </c>
      <c r="E125" s="5" t="s">
        <v>37</v>
      </c>
      <c r="F125" s="5" t="n">
        <v>100</v>
      </c>
      <c r="G125" s="7"/>
      <c r="H125" s="6"/>
      <c r="I125" s="7"/>
      <c r="J125" s="6"/>
      <c r="K125" s="7" t="n">
        <v>529.36</v>
      </c>
      <c r="L125" s="6" t="s">
        <v>569</v>
      </c>
      <c r="M125" s="7"/>
      <c r="N125" s="6"/>
      <c r="O125" s="7" t="n">
        <v>252.45</v>
      </c>
      <c r="P125" s="6" t="s">
        <v>570</v>
      </c>
      <c r="Q125" s="7"/>
      <c r="R125" s="6"/>
      <c r="S125" s="5" t="n">
        <f aca="false">COUNT(G125,I125,K125,M125,O125,Q125)</f>
        <v>2</v>
      </c>
      <c r="T125" s="8" t="n">
        <f aca="false">IF(S125=0,"",MIN(G125,I125,K125,M125,O125,Q125))</f>
        <v>252.45</v>
      </c>
      <c r="U125" s="9" t="str">
        <f aca="false">IF(S125=0,"No quote",LEFT(IF(AND(ISNUMBER(G125),G125=T125),"Ahsan, ","")&amp;IF(AND(ISNUMBER(I125),I125=T125),"Aslam, ","")&amp;IF(AND(ISNUMBER(K125),K125=T125),"Jamil, ","")&amp;IF(AND(ISNUMBER(M125),M125=T125),"Muller, ","")&amp;IF(AND(ISNUMBER(O125),O125=T125),"NMMC, ","")&amp;IF(AND(ISNUMBER(Q125),Q125=T125),"Platinum, ",""),LEN(IF(AND(ISNUMBER(G125),G125=T125),"Ahsan, ","")&amp;IF(AND(ISNUMBER(I125),I125=T125),"Aslam, ","")&amp;IF(AND(ISNUMBER(K125),K125=T125),"Jamil, ","")&amp;IF(AND(ISNUMBER(M125),M125=T125),"Muller, ","")&amp;IF(AND(ISNUMBER(O125),O125=T125),"NMMC, ","")&amp;IF(AND(ISNUMBER(Q125),Q125=T125),"Platinum, ",""))-2))</f>
        <v>NMMC</v>
      </c>
      <c r="V125" s="10" t="n">
        <f aca="false">IF(S125=0,"",T125*F125)</f>
        <v>25245</v>
      </c>
      <c r="W125" s="6"/>
    </row>
    <row r="126" customFormat="false" ht="46.25" hidden="false" customHeight="false" outlineLevel="0" collapsed="false">
      <c r="A126" s="5" t="n">
        <v>121</v>
      </c>
      <c r="B126" s="6" t="s">
        <v>571</v>
      </c>
      <c r="C126" s="6" t="s">
        <v>572</v>
      </c>
      <c r="D126" s="6" t="s">
        <v>573</v>
      </c>
      <c r="E126" s="5" t="s">
        <v>37</v>
      </c>
      <c r="F126" s="5" t="n">
        <v>300</v>
      </c>
      <c r="G126" s="7"/>
      <c r="H126" s="6"/>
      <c r="I126" s="7" t="n">
        <v>1178.1</v>
      </c>
      <c r="J126" s="6" t="s">
        <v>326</v>
      </c>
      <c r="K126" s="7"/>
      <c r="L126" s="6"/>
      <c r="M126" s="7"/>
      <c r="N126" s="6"/>
      <c r="O126" s="7"/>
      <c r="P126" s="6"/>
      <c r="Q126" s="7" t="n">
        <v>416.5</v>
      </c>
      <c r="R126" s="6" t="s">
        <v>574</v>
      </c>
      <c r="S126" s="5" t="n">
        <f aca="false">COUNT(G126,I126,K126,M126,O126,Q126)</f>
        <v>2</v>
      </c>
      <c r="T126" s="8" t="n">
        <f aca="false">IF(S126=0,"",MIN(G126,I126,K126,M126,O126,Q126))</f>
        <v>416.5</v>
      </c>
      <c r="U126" s="9" t="str">
        <f aca="false">IF(S126=0,"No quote",LEFT(IF(AND(ISNUMBER(G126),G126=T126),"Ahsan, ","")&amp;IF(AND(ISNUMBER(I126),I126=T126),"Aslam, ","")&amp;IF(AND(ISNUMBER(K126),K126=T126),"Jamil, ","")&amp;IF(AND(ISNUMBER(M126),M126=T126),"Muller, ","")&amp;IF(AND(ISNUMBER(O126),O126=T126),"NMMC, ","")&amp;IF(AND(ISNUMBER(Q126),Q126=T126),"Platinum, ",""),LEN(IF(AND(ISNUMBER(G126),G126=T126),"Ahsan, ","")&amp;IF(AND(ISNUMBER(I126),I126=T126),"Aslam, ","")&amp;IF(AND(ISNUMBER(K126),K126=T126),"Jamil, ","")&amp;IF(AND(ISNUMBER(M126),M126=T126),"Muller, ","")&amp;IF(AND(ISNUMBER(O126),O126=T126),"NMMC, ","")&amp;IF(AND(ISNUMBER(Q126),Q126=T126),"Platinum, ",""))-2))</f>
        <v>Platinum</v>
      </c>
      <c r="V126" s="10" t="n">
        <f aca="false">IF(S126=0,"",T126*F126)</f>
        <v>124950</v>
      </c>
      <c r="W126" s="6"/>
    </row>
    <row r="127" customFormat="false" ht="23.85" hidden="false" customHeight="false" outlineLevel="0" collapsed="false">
      <c r="A127" s="5" t="n">
        <v>122</v>
      </c>
      <c r="B127" s="6" t="s">
        <v>575</v>
      </c>
      <c r="C127" s="6" t="s">
        <v>576</v>
      </c>
      <c r="D127" s="6" t="s">
        <v>577</v>
      </c>
      <c r="E127" s="5" t="s">
        <v>37</v>
      </c>
      <c r="F127" s="5" t="n">
        <v>60</v>
      </c>
      <c r="G127" s="7"/>
      <c r="H127" s="6"/>
      <c r="I127" s="7" t="n">
        <v>106.85</v>
      </c>
      <c r="J127" s="6" t="s">
        <v>318</v>
      </c>
      <c r="K127" s="7"/>
      <c r="L127" s="6"/>
      <c r="M127" s="7" t="n">
        <v>331.91</v>
      </c>
      <c r="N127" s="6" t="s">
        <v>578</v>
      </c>
      <c r="O127" s="7"/>
      <c r="P127" s="6"/>
      <c r="Q127" s="7"/>
      <c r="R127" s="6"/>
      <c r="S127" s="5" t="n">
        <f aca="false">COUNT(G127,I127,K127,M127,O127,Q127)</f>
        <v>2</v>
      </c>
      <c r="T127" s="8" t="n">
        <f aca="false">IF(S127=0,"",MIN(G127,I127,K127,M127,O127,Q127))</f>
        <v>106.85</v>
      </c>
      <c r="U127" s="9" t="str">
        <f aca="false">IF(S127=0,"No quote",LEFT(IF(AND(ISNUMBER(G127),G127=T127),"Ahsan, ","")&amp;IF(AND(ISNUMBER(I127),I127=T127),"Aslam, ","")&amp;IF(AND(ISNUMBER(K127),K127=T127),"Jamil, ","")&amp;IF(AND(ISNUMBER(M127),M127=T127),"Muller, ","")&amp;IF(AND(ISNUMBER(O127),O127=T127),"NMMC, ","")&amp;IF(AND(ISNUMBER(Q127),Q127=T127),"Platinum, ",""),LEN(IF(AND(ISNUMBER(G127),G127=T127),"Ahsan, ","")&amp;IF(AND(ISNUMBER(I127),I127=T127),"Aslam, ","")&amp;IF(AND(ISNUMBER(K127),K127=T127),"Jamil, ","")&amp;IF(AND(ISNUMBER(M127),M127=T127),"Muller, ","")&amp;IF(AND(ISNUMBER(O127),O127=T127),"NMMC, ","")&amp;IF(AND(ISNUMBER(Q127),Q127=T127),"Platinum, ",""))-2))</f>
        <v>Aslam</v>
      </c>
      <c r="V127" s="10" t="n">
        <f aca="false">IF(S127=0,"",T127*F127)</f>
        <v>6411</v>
      </c>
      <c r="W127" s="6"/>
    </row>
    <row r="128" customFormat="false" ht="46.25" hidden="false" customHeight="false" outlineLevel="0" collapsed="false">
      <c r="A128" s="5" t="n">
        <v>123</v>
      </c>
      <c r="B128" s="6" t="s">
        <v>579</v>
      </c>
      <c r="C128" s="6" t="s">
        <v>580</v>
      </c>
      <c r="D128" s="6" t="s">
        <v>581</v>
      </c>
      <c r="E128" s="5" t="s">
        <v>37</v>
      </c>
      <c r="F128" s="5" t="n">
        <v>100</v>
      </c>
      <c r="G128" s="7" t="n">
        <v>120.7</v>
      </c>
      <c r="H128" s="6" t="s">
        <v>582</v>
      </c>
      <c r="I128" s="7"/>
      <c r="J128" s="6"/>
      <c r="K128" s="7"/>
      <c r="L128" s="6"/>
      <c r="M128" s="7" t="n">
        <v>323</v>
      </c>
      <c r="N128" s="6" t="s">
        <v>583</v>
      </c>
      <c r="O128" s="7" t="n">
        <v>127.5</v>
      </c>
      <c r="P128" s="6" t="s">
        <v>584</v>
      </c>
      <c r="Q128" s="7"/>
      <c r="R128" s="6"/>
      <c r="S128" s="5" t="n">
        <f aca="false">COUNT(G128,I128,K128,M128,O128,Q128)</f>
        <v>3</v>
      </c>
      <c r="T128" s="8" t="n">
        <f aca="false">IF(S128=0,"",MIN(G128,I128,K128,M128,O128,Q128))</f>
        <v>120.7</v>
      </c>
      <c r="U128" s="9" t="str">
        <f aca="false">IF(S128=0,"No quote",LEFT(IF(AND(ISNUMBER(G128),G128=T128),"Ahsan, ","")&amp;IF(AND(ISNUMBER(I128),I128=T128),"Aslam, ","")&amp;IF(AND(ISNUMBER(K128),K128=T128),"Jamil, ","")&amp;IF(AND(ISNUMBER(M128),M128=T128),"Muller, ","")&amp;IF(AND(ISNUMBER(O128),O128=T128),"NMMC, ","")&amp;IF(AND(ISNUMBER(Q128),Q128=T128),"Platinum, ",""),LEN(IF(AND(ISNUMBER(G128),G128=T128),"Ahsan, ","")&amp;IF(AND(ISNUMBER(I128),I128=T128),"Aslam, ","")&amp;IF(AND(ISNUMBER(K128),K128=T128),"Jamil, ","")&amp;IF(AND(ISNUMBER(M128),M128=T128),"Muller, ","")&amp;IF(AND(ISNUMBER(O128),O128=T128),"NMMC, ","")&amp;IF(AND(ISNUMBER(Q128),Q128=T128),"Platinum, ",""))-2))</f>
        <v>Ahsan</v>
      </c>
      <c r="V128" s="10" t="n">
        <f aca="false">IF(S128=0,"",T128*F128)</f>
        <v>12070</v>
      </c>
      <c r="W128" s="6"/>
    </row>
    <row r="129" customFormat="false" ht="35.05" hidden="false" customHeight="false" outlineLevel="0" collapsed="false">
      <c r="A129" s="5" t="n">
        <v>124</v>
      </c>
      <c r="B129" s="6" t="s">
        <v>585</v>
      </c>
      <c r="C129" s="6" t="s">
        <v>586</v>
      </c>
      <c r="D129" s="6" t="s">
        <v>587</v>
      </c>
      <c r="E129" s="5" t="s">
        <v>37</v>
      </c>
      <c r="F129" s="5" t="n">
        <v>600</v>
      </c>
      <c r="G129" s="7" t="n">
        <v>450.5</v>
      </c>
      <c r="H129" s="6" t="s">
        <v>588</v>
      </c>
      <c r="I129" s="7" t="n">
        <v>188.7</v>
      </c>
      <c r="J129" s="6" t="s">
        <v>39</v>
      </c>
      <c r="K129" s="7"/>
      <c r="L129" s="6"/>
      <c r="M129" s="7" t="n">
        <v>695.3</v>
      </c>
      <c r="N129" s="6" t="s">
        <v>106</v>
      </c>
      <c r="O129" s="7" t="n">
        <v>299.1525</v>
      </c>
      <c r="P129" s="6" t="s">
        <v>589</v>
      </c>
      <c r="Q129" s="7"/>
      <c r="R129" s="6"/>
      <c r="S129" s="5" t="n">
        <f aca="false">COUNT(G129,I129,K129,M129,O129,Q129)</f>
        <v>4</v>
      </c>
      <c r="T129" s="8" t="n">
        <f aca="false">IF(S129=0,"",MIN(G129,I129,K129,M129,O129,Q129))</f>
        <v>188.7</v>
      </c>
      <c r="U129" s="9" t="str">
        <f aca="false">IF(S129=0,"No quote",LEFT(IF(AND(ISNUMBER(G129),G129=T129),"Ahsan, ","")&amp;IF(AND(ISNUMBER(I129),I129=T129),"Aslam, ","")&amp;IF(AND(ISNUMBER(K129),K129=T129),"Jamil, ","")&amp;IF(AND(ISNUMBER(M129),M129=T129),"Muller, ","")&amp;IF(AND(ISNUMBER(O129),O129=T129),"NMMC, ","")&amp;IF(AND(ISNUMBER(Q129),Q129=T129),"Platinum, ",""),LEN(IF(AND(ISNUMBER(G129),G129=T129),"Ahsan, ","")&amp;IF(AND(ISNUMBER(I129),I129=T129),"Aslam, ","")&amp;IF(AND(ISNUMBER(K129),K129=T129),"Jamil, ","")&amp;IF(AND(ISNUMBER(M129),M129=T129),"Muller, ","")&amp;IF(AND(ISNUMBER(O129),O129=T129),"NMMC, ","")&amp;IF(AND(ISNUMBER(Q129),Q129=T129),"Platinum, ",""))-2))</f>
        <v>Aslam</v>
      </c>
      <c r="V129" s="10" t="n">
        <f aca="false">IF(S129=0,"",T129*F129)</f>
        <v>113220</v>
      </c>
      <c r="W129" s="6" t="s">
        <v>201</v>
      </c>
    </row>
    <row r="130" customFormat="false" ht="15" hidden="false" customHeight="false" outlineLevel="0" collapsed="false">
      <c r="A130" s="11"/>
      <c r="B130" s="11"/>
      <c r="C130" s="12" t="s">
        <v>590</v>
      </c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3" t="n">
        <f aca="false">SUM(V6:V129)</f>
        <v>8776293.9</v>
      </c>
      <c r="W130" s="11"/>
    </row>
  </sheetData>
  <autoFilter ref="A5:W129"/>
  <mergeCells count="17">
    <mergeCell ref="A4:A5"/>
    <mergeCell ref="B4:B5"/>
    <mergeCell ref="C4:C5"/>
    <mergeCell ref="D4:D5"/>
    <mergeCell ref="E4:E5"/>
    <mergeCell ref="F4:F5"/>
    <mergeCell ref="G4:H4"/>
    <mergeCell ref="I4:J4"/>
    <mergeCell ref="K4:L4"/>
    <mergeCell ref="M4:N4"/>
    <mergeCell ref="O4:P4"/>
    <mergeCell ref="Q4:R4"/>
    <mergeCell ref="S4:S5"/>
    <mergeCell ref="T4:T5"/>
    <mergeCell ref="U4:U5"/>
    <mergeCell ref="V4:V5"/>
    <mergeCell ref="W4:W5"/>
  </mergeCells>
  <conditionalFormatting sqref="G6:H129">
    <cfRule type="expression" priority="2" aboveAverage="0" equalAverage="0" bottom="0" percent="0" rank="0" text="" dxfId="7">
      <formula>AND(ISNUMBER($G6),$G6=$T6)</formula>
    </cfRule>
  </conditionalFormatting>
  <conditionalFormatting sqref="I6:J129">
    <cfRule type="expression" priority="3" aboveAverage="0" equalAverage="0" bottom="0" percent="0" rank="0" text="" dxfId="7">
      <formula>AND(ISNUMBER($I6),$I6=$T6)</formula>
    </cfRule>
  </conditionalFormatting>
  <conditionalFormatting sqref="K6:L129">
    <cfRule type="expression" priority="4" aboveAverage="0" equalAverage="0" bottom="0" percent="0" rank="0" text="" dxfId="7">
      <formula>AND(ISNUMBER($K6),$K6=$T6)</formula>
    </cfRule>
  </conditionalFormatting>
  <conditionalFormatting sqref="M6:N129">
    <cfRule type="expression" priority="5" aboveAverage="0" equalAverage="0" bottom="0" percent="0" rank="0" text="" dxfId="7">
      <formula>AND(ISNUMBER($M6),$M6=$T6)</formula>
    </cfRule>
  </conditionalFormatting>
  <conditionalFormatting sqref="O6:P129">
    <cfRule type="expression" priority="6" aboveAverage="0" equalAverage="0" bottom="0" percent="0" rank="0" text="" dxfId="7">
      <formula>AND(ISNUMBER($O6),$O6=$T6)</formula>
    </cfRule>
  </conditionalFormatting>
  <conditionalFormatting sqref="Q6:R129">
    <cfRule type="expression" priority="7" aboveAverage="0" equalAverage="0" bottom="0" percent="0" rank="0" text="" dxfId="7">
      <formula>AND(ISNUMBER($Q6),$Q6=$T6)</formula>
    </cfRule>
  </conditionalFormatting>
  <conditionalFormatting sqref="U6:U129">
    <cfRule type="expression" priority="8" aboveAverage="0" equalAverage="0" bottom="0" percent="0" rank="0" text="" dxfId="8">
      <formula>$S6=0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22"/>
  </cols>
  <sheetData>
    <row r="1" customFormat="false" ht="17.35" hidden="false" customHeight="false" outlineLevel="0" collapsed="false">
      <c r="A1" s="1" t="s">
        <v>591</v>
      </c>
    </row>
    <row r="3" customFormat="false" ht="23.85" hidden="false" customHeight="false" outlineLevel="0" collapsed="false">
      <c r="A3" s="3" t="s">
        <v>592</v>
      </c>
      <c r="B3" s="3" t="s">
        <v>593</v>
      </c>
      <c r="C3" s="3" t="s">
        <v>594</v>
      </c>
      <c r="D3" s="3" t="s">
        <v>595</v>
      </c>
    </row>
    <row r="4" customFormat="false" ht="15" hidden="false" customHeight="false" outlineLevel="0" collapsed="false">
      <c r="A4" s="14" t="s">
        <v>8</v>
      </c>
      <c r="B4" s="14" t="n">
        <f aca="false">COUNT(Comparative!G6:G129)</f>
        <v>45</v>
      </c>
      <c r="C4" s="14" t="n">
        <f aca="false">COUNTIF(Comparative!$U$6:$U$129,"*Ahsan*")</f>
        <v>17</v>
      </c>
      <c r="D4" s="15" t="n">
        <f aca="false">SUMIF(Comparative!$U$6:$U$129,"*Ahsan*",Comparative!$V$6:$V$129)</f>
        <v>592087.5</v>
      </c>
    </row>
    <row r="5" customFormat="false" ht="15" hidden="false" customHeight="false" outlineLevel="0" collapsed="false">
      <c r="A5" s="14" t="s">
        <v>9</v>
      </c>
      <c r="B5" s="14" t="n">
        <f aca="false">COUNT(Comparative!I6:I129)</f>
        <v>40</v>
      </c>
      <c r="C5" s="14" t="n">
        <f aca="false">COUNTIF(Comparative!$U$6:$U$129,"*Aslam*")</f>
        <v>15</v>
      </c>
      <c r="D5" s="15" t="n">
        <f aca="false">SUMIF(Comparative!$U$6:$U$129,"*Aslam*",Comparative!$V$6:$V$129)</f>
        <v>626325.5</v>
      </c>
    </row>
    <row r="6" customFormat="false" ht="15" hidden="false" customHeight="false" outlineLevel="0" collapsed="false">
      <c r="A6" s="14" t="s">
        <v>10</v>
      </c>
      <c r="B6" s="14" t="n">
        <f aca="false">COUNT(Comparative!K6:K129)</f>
        <v>33</v>
      </c>
      <c r="C6" s="14" t="n">
        <f aca="false">COUNTIF(Comparative!$U$6:$U$129,"*Jamil*")</f>
        <v>12</v>
      </c>
      <c r="D6" s="15" t="n">
        <f aca="false">SUMIF(Comparative!$U$6:$U$129,"*Jamil*",Comparative!$V$6:$V$129)</f>
        <v>771799.6</v>
      </c>
    </row>
    <row r="7" customFormat="false" ht="15" hidden="false" customHeight="false" outlineLevel="0" collapsed="false">
      <c r="A7" s="14" t="s">
        <v>11</v>
      </c>
      <c r="B7" s="14" t="n">
        <f aca="false">COUNT(Comparative!M6:M129)</f>
        <v>56</v>
      </c>
      <c r="C7" s="14" t="n">
        <f aca="false">COUNTIF(Comparative!$U$6:$U$129,"*Muller*")</f>
        <v>17</v>
      </c>
      <c r="D7" s="15" t="n">
        <f aca="false">SUMIF(Comparative!$U$6:$U$129,"*Muller*",Comparative!$V$6:$V$129)</f>
        <v>3002991</v>
      </c>
    </row>
    <row r="8" customFormat="false" ht="15" hidden="false" customHeight="false" outlineLevel="0" collapsed="false">
      <c r="A8" s="14" t="s">
        <v>12</v>
      </c>
      <c r="B8" s="14" t="n">
        <f aca="false">COUNT(Comparative!O6:O129)</f>
        <v>68</v>
      </c>
      <c r="C8" s="14" t="n">
        <f aca="false">COUNTIF(Comparative!$U$6:$U$129,"*NMMC*")</f>
        <v>51</v>
      </c>
      <c r="D8" s="15" t="n">
        <f aca="false">SUMIF(Comparative!$U$6:$U$129,"*NMMC*",Comparative!$V$6:$V$129)</f>
        <v>3686576.05</v>
      </c>
    </row>
    <row r="9" customFormat="false" ht="15" hidden="false" customHeight="false" outlineLevel="0" collapsed="false">
      <c r="A9" s="14" t="s">
        <v>13</v>
      </c>
      <c r="B9" s="14" t="n">
        <f aca="false">COUNT(Comparative!Q6:Q129)</f>
        <v>8</v>
      </c>
      <c r="C9" s="14" t="n">
        <f aca="false">COUNTIF(Comparative!$U$6:$U$129,"*Platinum*")</f>
        <v>6</v>
      </c>
      <c r="D9" s="15" t="n">
        <f aca="false">SUMIF(Comparative!$U$6:$U$129,"*Platinum*",Comparative!$V$6:$V$129)</f>
        <v>277219.25</v>
      </c>
    </row>
    <row r="10" customFormat="false" ht="15" hidden="false" customHeight="false" outlineLevel="0" collapsed="false">
      <c r="A10" s="16" t="s">
        <v>596</v>
      </c>
      <c r="B10" s="16"/>
      <c r="C10" s="16" t="n">
        <f aca="false">COUNTIF(Comparative!$U$6:$U$129,"No quote")</f>
        <v>10</v>
      </c>
      <c r="D10" s="16"/>
    </row>
    <row r="11" customFormat="false" ht="15" hidden="false" customHeight="false" outlineLevel="0" collapsed="false">
      <c r="A11" s="16" t="s">
        <v>597</v>
      </c>
      <c r="B11" s="16"/>
      <c r="C11" s="16" t="n">
        <f aca="false">COUNTA(Comparative!B6:B129)</f>
        <v>124</v>
      </c>
      <c r="D11" s="16"/>
    </row>
    <row r="13" customFormat="false" ht="15" hidden="false" customHeight="false" outlineLevel="0" collapsed="false">
      <c r="A13" s="17" t="s">
        <v>598</v>
      </c>
    </row>
    <row r="14" customFormat="false" ht="15" hidden="false" customHeight="false" outlineLevel="0" collapsed="false">
      <c r="A14" s="18" t="s">
        <v>599</v>
      </c>
    </row>
    <row r="15" customFormat="false" ht="15" hidden="false" customHeight="false" outlineLevel="0" collapsed="false">
      <c r="A15" s="18" t="s">
        <v>600</v>
      </c>
    </row>
    <row r="16" customFormat="false" ht="15" hidden="false" customHeight="false" outlineLevel="0" collapsed="false">
      <c r="A16" s="18" t="s">
        <v>601</v>
      </c>
    </row>
    <row r="17" customFormat="false" ht="15" hidden="false" customHeight="false" outlineLevel="0" collapsed="false">
      <c r="A17" s="18" t="s">
        <v>602</v>
      </c>
    </row>
    <row r="18" customFormat="false" ht="15" hidden="false" customHeight="false" outlineLevel="0" collapsed="false">
      <c r="A18" s="18" t="s">
        <v>603</v>
      </c>
    </row>
    <row r="19" customFormat="false" ht="15" hidden="false" customHeight="false" outlineLevel="0" collapsed="false">
      <c r="A19" s="18" t="s">
        <v>604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2026-10-06T11:24:06Z</dcterms:created>
  <dc:creator>openpyxl</dc:creator>
  <dc:description/>
  <dc:language>en-US</dc:language>
  <cp:lastModifiedBy/>
  <dcterms:modified xsi:type="dcterms:W3CDTF">2026-10-06T11:24:06Z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